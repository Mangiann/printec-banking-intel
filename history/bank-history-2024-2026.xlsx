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1.xml" ContentType="application/vnd.openxmlformats-officedocument.drawing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Metrics" sheetId="2" state="visible" r:id="rId2"/>
    <sheet xmlns:r="http://schemas.openxmlformats.org/officeDocument/2006/relationships" name="Milestones" sheetId="3" state="visible" r:id="rId3"/>
    <sheet xmlns:r="http://schemas.openxmlformats.org/officeDocument/2006/relationships" name="GR_Sector_Series" sheetId="4" state="visible" r:id="rId4"/>
    <sheet xmlns:r="http://schemas.openxmlformats.org/officeDocument/2006/relationships" name="Patterns" sheetId="5" state="visible" r:id="rId5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2">
    <numFmt numFmtId="164" formatCode="0.0%"/>
    <numFmt numFmtId="165" formatCode="0.0"/>
  </numFmts>
  <fonts count="12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b val="1"/>
      <sz val="14"/>
    </font>
    <font>
      <name val="Arial"/>
      <charset val="1"/>
      <family val="0"/>
      <sz val="10"/>
    </font>
    <font>
      <name val="Arial"/>
      <charset val="1"/>
      <family val="0"/>
      <b val="1"/>
      <color rgb="FFFFFFFF"/>
      <sz val="10"/>
    </font>
    <font>
      <name val="Arial"/>
      <charset val="1"/>
      <family val="0"/>
      <b val="1"/>
      <sz val="12"/>
    </font>
    <font>
      <name val="Calibri"/>
      <family val="2"/>
      <b val="1"/>
      <color rgb="FF000000"/>
      <sz val="18"/>
    </font>
    <font>
      <name val="Calibri"/>
      <family val="2"/>
      <color rgb="FF000000"/>
      <sz val="10"/>
    </font>
    <font>
      <name val="Calibri"/>
      <family val="2"/>
      <b val="1"/>
      <color rgb="FF000000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FF1F4E79"/>
        <bgColor rgb="FF003366"/>
      </patternFill>
    </fill>
  </fills>
  <borders count="1">
    <border>
      <left/>
      <right/>
      <top/>
      <bottom/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20"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top" wrapText="1"/>
    </xf>
    <xf numFmtId="0" fontId="6" fillId="2" borderId="0" applyAlignment="1" pivotButton="0" quotePrefix="0" xfId="0">
      <alignment horizontal="general" vertical="top" wrapText="1"/>
    </xf>
    <xf numFmtId="0" fontId="7" fillId="0" borderId="0" applyAlignment="1" pivotButton="0" quotePrefix="0" xfId="0">
      <alignment horizontal="general" vertical="bottom"/>
    </xf>
    <xf numFmtId="0" fontId="6" fillId="2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164" fontId="5" fillId="0" borderId="0" applyAlignment="1" pivotButton="0" quotePrefix="0" xfId="0">
      <alignment horizontal="general" vertical="bottom"/>
    </xf>
    <xf numFmtId="165" fontId="5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top" wrapText="1"/>
    </xf>
    <xf numFmtId="0" fontId="6" fillId="2" borderId="0" applyAlignment="1" pivotButton="0" quotePrefix="0" xfId="0">
      <alignment horizontal="general" vertical="top" wrapText="1"/>
    </xf>
    <xf numFmtId="0" fontId="11" fillId="0" borderId="0" applyAlignment="1" pivotButton="0" quotePrefix="0" xfId="0">
      <alignment vertical="top" wrapText="1"/>
    </xf>
    <xf numFmtId="0" fontId="7" fillId="0" borderId="0" applyAlignment="1" pivotButton="0" quotePrefix="0" xfId="0">
      <alignment horizontal="general" vertical="bottom"/>
    </xf>
    <xf numFmtId="0" fontId="6" fillId="2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164" fontId="5" fillId="0" borderId="0" applyAlignment="1" pivotButton="0" quotePrefix="0" xfId="0">
      <alignment horizontal="general" vertical="bottom"/>
    </xf>
    <xf numFmtId="165" fontId="5" fillId="0" borderId="0" applyAlignment="1" pivotButton="0" quotePrefix="0" xfId="0">
      <alignment horizontal="general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78787"/>
      <rgbColor rgb="FF9999FF"/>
      <rgbColor rgb="FFBE4B48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4A7EBB"/>
      <rgbColor rgb="FF969696"/>
      <rgbColor rgb="FF003366"/>
      <rgbColor rgb="FF339966"/>
      <rgbColor rgb="FF003300"/>
      <rgbColor rgb="FF333300"/>
      <rgbColor rgb="FF993300"/>
      <rgbColor rgb="FF993366"/>
      <rgbColor rgb="FF1F4E7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 rot="0"/>
          <a:lstStyle xmlns:a="http://schemas.openxmlformats.org/drawingml/2006/main"/>
          <a:p xmlns:a="http://schemas.openxmlformats.org/drawingml/2006/main">
            <a:pPr>
              <a:defRPr sz="1300" b="0" strike="noStrike">
                <a:uFillTx/>
                <a:latin typeface="Arial"/>
              </a:defRPr>
            </a:pPr>
            <a:r>
              <a:rPr sz="1800" b="1" strike="noStrike">
                <a:solidFill>
                  <a:srgbClr val="000000"/>
                </a:solidFill>
                <a:uFillTx/>
                <a:latin typeface="Calibri"/>
              </a:rPr>
              <a:t>Greek banking sector: branches vs ATMs (2014–2024)</a:t>
            </a:r>
          </a:p>
        </rich>
      </tx>
      <overlay val="0"/>
      <spPr>
        <a:noFill xmlns:a="http://schemas.openxmlformats.org/drawingml/2006/main"/>
        <a:ln xmlns:a="http://schemas.openxmlformats.org/drawingml/2006/main" w="0">
          <a:noFill/>
          <a:prstDash val="solid"/>
        </a:ln>
      </spPr>
    </title>
    <plotArea>
      <lineChart>
        <grouping val="standard"/>
        <varyColors val="0"/>
        <ser>
          <idx val="0"/>
          <order val="0"/>
          <tx>
            <strRef>
              <f>GR_Sector_Series!A3</f>
              <strCache>
                <ptCount val="1"/>
                <pt idx="0">
                  <v>Branches</v>
                </pt>
              </strCache>
            </strRef>
          </tx>
          <spPr>
            <a:solidFill xmlns:a="http://schemas.openxmlformats.org/drawingml/2006/main">
              <a:srgbClr val="4A7EBB"/>
            </a:solidFill>
            <a:ln xmlns:a="http://schemas.openxmlformats.org/drawingml/2006/main" w="12600">
              <a:solidFill>
                <a:srgbClr val="4A7EBB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dLbls>
            <txPr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 sz="1000" b="0" strike="noStrike">
                    <a:uFillTx/>
                    <a:latin typeface="Arial"/>
                  </a:defRPr>
                </a:pPr>
                <a:r>
                  <a:t/>
                </a:r>
              </a:p>
            </txPr>
            <showLegendKey val="0"/>
            <showVal val="0"/>
            <showCatName val="0"/>
            <showSerName val="0"/>
            <showPercent val="0"/>
            <showLeaderLines val="1"/>
          </dLbls>
          <cat>
            <strRef>
              <f>GR_Sector_Series!$B$2:$L$2</f>
              <strCache>
                <ptCount val="11"/>
                <pt idx="0">
                  <v>2014</v>
                </pt>
                <pt idx="1">
                  <v>2015</v>
                </pt>
                <pt idx="2">
                  <v>2016</v>
                </pt>
                <pt idx="3">
                  <v>2017</v>
                </pt>
                <pt idx="4">
                  <v>2018</v>
                </pt>
                <pt idx="5">
                  <v>2019</v>
                </pt>
                <pt idx="6">
                  <v>2020</v>
                </pt>
                <pt idx="7">
                  <v>2021</v>
                </pt>
                <pt idx="8">
                  <v>2022</v>
                </pt>
                <pt idx="9">
                  <v>2023</v>
                </pt>
                <pt idx="10">
                  <v>2024</v>
                </pt>
              </strCache>
            </strRef>
          </cat>
          <val>
            <numRef>
              <f>GR_Sector_Series!$B$3:$L$3</f>
              <numCache>
                <formatCode>General</formatCode>
                <ptCount val="11"/>
                <pt idx="0">
                  <v>2688</v>
                </pt>
                <pt idx="1">
                  <v>2547</v>
                </pt>
                <pt idx="2">
                  <v>2332</v>
                </pt>
                <pt idx="3">
                  <v>2168</v>
                </pt>
                <pt idx="4">
                  <v>1981</v>
                </pt>
                <pt idx="5">
                  <v>1834</v>
                </pt>
                <pt idx="6">
                  <v>1702</v>
                </pt>
                <pt idx="7">
                  <v>1560</v>
                </pt>
                <pt idx="8">
                  <v>1483</v>
                </pt>
                <pt idx="9">
                  <v>1414</v>
                </pt>
                <pt idx="10">
                  <v>1383</v>
                </pt>
              </numCache>
            </numRef>
          </val>
          <smooth val="1"/>
        </ser>
        <ser>
          <idx val="1"/>
          <order val="1"/>
          <tx>
            <strRef>
              <f>GR_Sector_Series!A4</f>
              <strCache>
                <ptCount val="1"/>
                <pt idx="0">
                  <v>ATMs</v>
                </pt>
              </strCache>
            </strRef>
          </tx>
          <spPr>
            <a:solidFill xmlns:a="http://schemas.openxmlformats.org/drawingml/2006/main">
              <a:srgbClr val="BE4B48"/>
            </a:solidFill>
            <a:ln xmlns:a="http://schemas.openxmlformats.org/drawingml/2006/main" w="12600">
              <a:solidFill>
                <a:srgbClr val="BE4B48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dLbls>
            <txPr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 sz="1000" b="0" strike="noStrike">
                    <a:uFillTx/>
                    <a:latin typeface="Arial"/>
                  </a:defRPr>
                </a:pPr>
                <a:r>
                  <a:t/>
                </a:r>
              </a:p>
            </txPr>
            <showLegendKey val="0"/>
            <showVal val="0"/>
            <showCatName val="0"/>
            <showSerName val="0"/>
            <showPercent val="0"/>
            <showLeaderLines val="1"/>
          </dLbls>
          <cat>
            <strRef>
              <f>GR_Sector_Series!$B$2:$L$2</f>
              <strCache>
                <ptCount val="11"/>
                <pt idx="0">
                  <v>2014</v>
                </pt>
                <pt idx="1">
                  <v>2015</v>
                </pt>
                <pt idx="2">
                  <v>2016</v>
                </pt>
                <pt idx="3">
                  <v>2017</v>
                </pt>
                <pt idx="4">
                  <v>2018</v>
                </pt>
                <pt idx="5">
                  <v>2019</v>
                </pt>
                <pt idx="6">
                  <v>2020</v>
                </pt>
                <pt idx="7">
                  <v>2021</v>
                </pt>
                <pt idx="8">
                  <v>2022</v>
                </pt>
                <pt idx="9">
                  <v>2023</v>
                </pt>
                <pt idx="10">
                  <v>2024</v>
                </pt>
              </strCache>
            </strRef>
          </cat>
          <val>
            <numRef>
              <f>GR_Sector_Series!$B$4:$L$4</f>
              <numCache>
                <formatCode>General</formatCode>
                <ptCount val="11"/>
                <pt idx="0">
                  <v>5449</v>
                </pt>
                <pt idx="1">
                  <v>5257</v>
                </pt>
                <pt idx="2">
                  <v>5313</v>
                </pt>
                <pt idx="3">
                  <v>5505</v>
                </pt>
                <pt idx="4">
                  <v>5625</v>
                </pt>
                <pt idx="5">
                  <v>5854</v>
                </pt>
                <pt idx="6">
                  <v>5925</v>
                </pt>
                <pt idx="7">
                  <v>5928</v>
                </pt>
                <pt idx="8">
                  <v>6040</v>
                </pt>
                <pt idx="9">
                  <v>5953</v>
                </pt>
                <pt idx="10">
                  <v>6167</v>
                </pt>
              </numCache>
            </numRef>
          </val>
          <smooth val="1"/>
        </ser>
        <hiLowLines>
          <spPr>
            <a:ln xmlns:a="http://schemas.openxmlformats.org/drawingml/2006/main" w="0">
              <a:noFill/>
              <a:prstDash val="solid"/>
            </a:ln>
          </spPr>
        </hiLowLines>
        <marker val="0"/>
        <axId val="80760271"/>
        <axId val="16091442"/>
      </lineChart>
      <catAx>
        <axId val="80760271"/>
        <scaling>
          <orientation val="minMax"/>
        </scaling>
        <delete val="0"/>
        <axPos val="b"/>
        <title>
          <tx>
            <rich>
              <a:bodyPr xmlns:a="http://schemas.openxmlformats.org/drawingml/2006/main" rot="0"/>
              <a:lstStyle xmlns:a="http://schemas.openxmlformats.org/drawingml/2006/main"/>
              <a:p xmlns:a="http://schemas.openxmlformats.org/drawingml/2006/main">
                <a:pPr>
                  <a:defRPr sz="1300" b="0" strike="noStrike">
                    <a:uFillTx/>
                    <a:latin typeface="Arial"/>
                  </a:defRPr>
                </a:pPr>
                <a:r>
                  <a:rPr sz="1000" b="1" strike="noStrike">
                    <a:solidFill>
                      <a:srgbClr val="000000"/>
                    </a:solidFill>
                    <a:uFillTx/>
                    <a:latin typeface="Calibri"/>
                  </a:rPr>
                  <a:t>Year</a:t>
                </a:r>
              </a:p>
            </rich>
          </tx>
          <overlay val="0"/>
          <spPr>
            <a:noFill xmlns:a="http://schemas.openxmlformats.org/drawingml/2006/main"/>
            <a:ln xmlns:a="http://schemas.openxmlformats.org/drawingml/2006/main" w="0">
              <a:noFill/>
              <a:prstDash val="solid"/>
            </a:ln>
          </spPr>
        </title>
        <numFmt formatCode="General" sourceLinked="1"/>
        <majorTickMark val="none"/>
        <minorTickMark val="none"/>
        <tickLblPos val="nextTo"/>
        <spPr>
          <a:ln xmlns:a="http://schemas.openxmlformats.org/drawingml/2006/main" w="9360">
            <a:solidFill>
              <a:srgbClr val="878787"/>
            </a:solidFill>
            <a:prstDash val="solid"/>
            <a:round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1000" b="0" strike="noStrike">
                <a:solidFill>
                  <a:srgbClr val="000000"/>
                </a:solidFill>
                <a:uFillTx/>
                <a:latin typeface="Calibri"/>
              </a:defRPr>
            </a:pPr>
            <a:r>
              <a:t/>
            </a:r>
          </a:p>
        </txPr>
        <crossAx val="16091442"/>
        <crosses val="autoZero"/>
        <auto val="1"/>
        <lblAlgn val="ctr"/>
        <lblOffset val="100"/>
        <noMultiLvlLbl val="0"/>
      </catAx>
      <valAx>
        <axId val="16091442"/>
        <scaling>
          <orientation val="minMax"/>
        </scaling>
        <delete val="0"/>
        <axPos val="l"/>
        <majorGridlines>
          <spPr>
            <a:ln xmlns:a="http://schemas.openxmlformats.org/drawingml/2006/main" w="9360">
              <a:solidFill>
                <a:srgbClr val="878787"/>
              </a:solidFill>
              <a:prstDash val="solid"/>
              <a:round/>
            </a:ln>
          </spPr>
        </majorGridlines>
        <title>
          <tx>
            <rich>
              <a:bodyPr xmlns:a="http://schemas.openxmlformats.org/drawingml/2006/main" rot="-5400000"/>
              <a:lstStyle xmlns:a="http://schemas.openxmlformats.org/drawingml/2006/main"/>
              <a:p xmlns:a="http://schemas.openxmlformats.org/drawingml/2006/main">
                <a:pPr>
                  <a:defRPr sz="1300" b="0" strike="noStrike">
                    <a:uFillTx/>
                    <a:latin typeface="Arial"/>
                  </a:defRPr>
                </a:pPr>
                <a:r>
                  <a:rPr sz="1000" b="1" strike="noStrike">
                    <a:solidFill>
                      <a:srgbClr val="000000"/>
                    </a:solidFill>
                    <a:uFillTx/>
                    <a:latin typeface="Calibri"/>
                  </a:rPr>
                  <a:t>Count</a:t>
                </a:r>
              </a:p>
            </rich>
          </tx>
          <overlay val="0"/>
          <spPr>
            <a:noFill xmlns:a="http://schemas.openxmlformats.org/drawingml/2006/main"/>
            <a:ln xmlns:a="http://schemas.openxmlformats.org/drawingml/2006/main" w="0">
              <a:noFill/>
              <a:prstDash val="solid"/>
            </a:ln>
          </spPr>
        </title>
        <numFmt formatCode="General" sourceLinked="1"/>
        <majorTickMark val="none"/>
        <minorTickMark val="none"/>
        <tickLblPos val="nextTo"/>
        <spPr>
          <a:ln xmlns:a="http://schemas.openxmlformats.org/drawingml/2006/main" w="9360">
            <a:solidFill>
              <a:srgbClr val="878787"/>
            </a:solidFill>
            <a:prstDash val="solid"/>
            <a:round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1000" b="0" strike="noStrike">
                <a:solidFill>
                  <a:srgbClr val="000000"/>
                </a:solidFill>
                <a:uFillTx/>
                <a:latin typeface="Calibri"/>
              </a:defRPr>
            </a:pPr>
            <a:r>
              <a:t/>
            </a:r>
          </a:p>
        </txPr>
        <crossAx val="80760271"/>
        <crosses val="autoZero"/>
        <crossBetween val="between"/>
      </valAx>
    </plotArea>
    <legend>
      <legendPos val="r"/>
      <overlay val="0"/>
      <spPr>
        <a:noFill xmlns:a="http://schemas.openxmlformats.org/drawingml/2006/main"/>
        <a:ln xmlns:a="http://schemas.openxmlformats.org/drawingml/2006/main" w="0">
          <a:noFill/>
          <a:prstDash val="solid"/>
        </a:ln>
      </spPr>
      <txPr>
        <a:bodyPr xmlns:a="http://schemas.openxmlformats.org/drawingml/2006/main"/>
        <a:lstStyle xmlns:a="http://schemas.openxmlformats.org/drawingml/2006/main"/>
        <a:p xmlns:a="http://schemas.openxmlformats.org/drawingml/2006/main">
          <a:pPr>
            <a:defRPr sz="1000" b="0" strike="noStrike">
              <a:solidFill>
                <a:srgbClr val="000000"/>
              </a:solidFill>
              <a:uFillTx/>
              <a:latin typeface="Calibri"/>
            </a:defRPr>
          </a:pPr>
          <a:r>
            <a:t/>
          </a:r>
        </a:p>
      </txPr>
    </legend>
    <plotVisOnly val="1"/>
    <dispBlanksAs val="gap"/>
  </chart>
  <spPr>
    <a:solidFill xmlns:a="http://schemas.openxmlformats.org/drawingml/2006/main">
      <a:srgbClr val="FFFFFF"/>
    </a:solidFill>
    <a:ln xmlns:a="http://schemas.openxmlformats.org/drawingml/2006/main" w="9360">
      <a:solidFill>
        <a:srgbClr val="D9D9D9"/>
      </a:solidFill>
      <a:prstDash val="solid"/>
      <a:round/>
    </a:ln>
  </spPr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twoCellAnchor editAs="oneCell">
    <from>
      <col>0</col>
      <colOff>0</colOff>
      <row>10</row>
      <rowOff>0</rowOff>
    </from>
    <to>
      <col>11</col>
      <colOff>463320</colOff>
      <row>30</row>
      <rowOff>149760</rowOff>
    </to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twoCellAnchor>
</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4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B8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0" zeroHeight="0" outlineLevelRow="0"/>
  <cols>
    <col width="22" customWidth="1" style="9" min="1" max="1"/>
    <col width="130" customWidth="1" style="9" min="2" max="2"/>
  </cols>
  <sheetData>
    <row r="1" ht="17.35" customHeight="1" s="10">
      <c r="A1" s="11" t="inlineStr">
        <is>
          <t>Printec Banking Market Research — Historical Dataset (mid-2024 → June 2026)</t>
        </is>
      </c>
    </row>
    <row r="2" ht="15" customHeight="1" s="10">
      <c r="A2" s="12" t="n"/>
      <c r="B2" s="12" t="n"/>
    </row>
    <row r="3" ht="23.85" customHeight="1" s="10">
      <c r="A3" s="12" t="inlineStr">
        <is>
          <t>Purpose</t>
        </is>
      </c>
      <c r="B3" s="12" t="inlineStr">
        <is>
          <t>Two-year backfill of bank disclosure data for priority markets (Greece, Romania, Bulgaria, Serbia, Cyprus, Ukraine) to explore patterns in branch/ATM networks, IT/digital spend and strategy milestones.</t>
        </is>
      </c>
    </row>
    <row r="4" ht="15" customHeight="1" s="10">
      <c r="A4" s="12" t="inlineStr">
        <is>
          <t>Built by</t>
        </is>
      </c>
      <c r="B4" s="12" t="inlineStr">
        <is>
          <t>Agent 1 — Bank Disclosures, 2026-06-12. Sources: investor materials, banking-association statistics, reputable press. Every value cited (source + URL + date).</t>
        </is>
      </c>
    </row>
    <row r="5" ht="23.85" customHeight="1" s="10">
      <c r="A5" s="12" t="inlineStr">
        <is>
          <t>Sheets</t>
        </is>
      </c>
      <c r="B5" s="12" t="inlineStr">
        <is>
          <t>Metrics = long-format data (one row per bank/metric/period). Milestones = dated strategy events. GR_Sector_Series = Greek sector time series 2014-2024 with YoY formulas + chart. Patterns = observations with supporting calculations.</t>
        </is>
      </c>
    </row>
    <row r="6" ht="15" customHeight="1" s="10">
      <c r="A6" s="12" t="inlineStr">
        <is>
          <t>Confidence</t>
        </is>
      </c>
      <c r="B6" s="12" t="inlineStr">
        <is>
          <t>Per playbook: single-agent data capped at Medium. Low = aggregator/undated source. Values marked 'derived' are computed from cited figures, not published.</t>
        </is>
      </c>
    </row>
    <row r="7" ht="23.85" customHeight="1" s="10">
      <c r="A7" s="12" t="inlineStr">
        <is>
          <t>Known gaps</t>
        </is>
      </c>
      <c r="B7" s="12" t="inlineStr">
        <is>
          <t>BRD network history (PARTLY CLOSED: 1,300+ ATMs Feb 2024 via bankingnews.ro); Serbian sector ATM/POS series (CLOSED via NBS local-language search: 3,196 ATMs Jun 2025); Oschadbank current ATM count (confirmed gap even in Ukrainian-language search; latest = 2023); per-bank Greek counts still undated aggregator snapshots; Bulgarian per-bank counts inconsistent (flagged in Notes).</t>
        </is>
      </c>
    </row>
    <row r="8" ht="23.85" customHeight="1" s="10">
      <c r="A8" s="12" t="inlineStr">
        <is>
          <t>Suggested next steps</t>
        </is>
      </c>
      <c r="B8" s="12" t="inlineStr">
        <is>
          <t>Quarterly re-run to extend series; pull NBS (Serbia) and NBU (Ukraine) statistical series via Agent 4; replace aggregator snapshots with annual-report figures as they are published.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K99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customHeight="0" zeroHeight="0" outlineLevelRow="0"/>
  <cols>
    <col width="10" customWidth="1" style="9" min="1" max="1"/>
    <col width="20" customWidth="1" style="9" min="2" max="2"/>
    <col width="30" customWidth="1" style="9" min="3" max="3"/>
    <col width="12" customWidth="1" style="9" min="4" max="6"/>
    <col width="32" customWidth="1" style="9" min="7" max="7"/>
    <col width="45" customWidth="1" style="9" min="8" max="8"/>
    <col width="12" customWidth="1" style="9" min="9" max="9"/>
    <col width="11" customWidth="1" style="9" min="10" max="10"/>
    <col width="45" customWidth="1" style="9" min="11" max="11"/>
  </cols>
  <sheetData>
    <row r="1" ht="15" customHeight="1" s="10">
      <c r="A1" s="13" t="inlineStr">
        <is>
          <t>Country</t>
        </is>
      </c>
      <c r="B1" s="13" t="inlineStr">
        <is>
          <t>Bank / Scope</t>
        </is>
      </c>
      <c r="C1" s="13" t="inlineStr">
        <is>
          <t>Metric</t>
        </is>
      </c>
      <c r="D1" s="13" t="inlineStr">
        <is>
          <t>Unit</t>
        </is>
      </c>
      <c r="E1" s="13" t="inlineStr">
        <is>
          <t>Period</t>
        </is>
      </c>
      <c r="F1" s="13" t="inlineStr">
        <is>
          <t>Value</t>
        </is>
      </c>
      <c r="G1" s="13" t="inlineStr">
        <is>
          <t>Source</t>
        </is>
      </c>
      <c r="H1" s="13" t="inlineStr">
        <is>
          <t>URL</t>
        </is>
      </c>
      <c r="I1" s="13" t="inlineStr">
        <is>
          <t>Source date</t>
        </is>
      </c>
      <c r="J1" s="13" t="inlineStr">
        <is>
          <t>Confidence</t>
        </is>
      </c>
      <c r="K1" s="13" t="inlineStr">
        <is>
          <t>Notes</t>
        </is>
      </c>
    </row>
    <row r="2" ht="35.05" customHeight="1" s="10">
      <c r="A2" s="12" t="inlineStr">
        <is>
          <t>Greece</t>
        </is>
      </c>
      <c r="B2" s="12" t="inlineStr">
        <is>
          <t>Sector (all banks)</t>
        </is>
      </c>
      <c r="C2" s="12" t="inlineStr">
        <is>
          <t>Bank branches</t>
        </is>
      </c>
      <c r="D2" s="12" t="inlineStr">
        <is>
          <t>count</t>
        </is>
      </c>
      <c r="E2" s="12" t="inlineStr">
        <is>
          <t>2014</t>
        </is>
      </c>
      <c r="F2" s="12" t="n">
        <v>2688</v>
      </c>
      <c r="G2" s="12" t="inlineStr">
        <is>
          <t>HBA Greek Banking System Overview Nov 2025</t>
        </is>
      </c>
      <c r="H2" s="12" t="inlineStr">
        <is>
          <t>https://www.hba.gr/UplDocs/Greek%20Banking%20System%20Overview_Nov.2025f.pdf</t>
        </is>
      </c>
      <c r="I2" s="12" t="inlineStr">
        <is>
          <t>2025-11</t>
        </is>
      </c>
      <c r="J2" s="12" t="inlineStr">
        <is>
          <t>Medium</t>
        </is>
      </c>
      <c r="K2" s="12" t="inlineStr">
        <is>
          <t>ECB SSI / HBA data</t>
        </is>
      </c>
    </row>
    <row r="3" ht="35.05" customHeight="1" s="10">
      <c r="A3" s="12" t="inlineStr">
        <is>
          <t>Greece</t>
        </is>
      </c>
      <c r="B3" s="12" t="inlineStr">
        <is>
          <t>Sector (all banks)</t>
        </is>
      </c>
      <c r="C3" s="12" t="inlineStr">
        <is>
          <t>Bank branches</t>
        </is>
      </c>
      <c r="D3" s="12" t="inlineStr">
        <is>
          <t>count</t>
        </is>
      </c>
      <c r="E3" s="12" t="inlineStr">
        <is>
          <t>2015</t>
        </is>
      </c>
      <c r="F3" s="12" t="n">
        <v>2547</v>
      </c>
      <c r="G3" s="12" t="inlineStr">
        <is>
          <t>HBA Greek Banking System Overview Nov 2025</t>
        </is>
      </c>
      <c r="H3" s="12" t="inlineStr">
        <is>
          <t>https://www.hba.gr/UplDocs/Greek%20Banking%20System%20Overview_Nov.2025f.pdf</t>
        </is>
      </c>
      <c r="I3" s="12" t="inlineStr">
        <is>
          <t>2025-11</t>
        </is>
      </c>
      <c r="J3" s="12" t="inlineStr">
        <is>
          <t>Medium</t>
        </is>
      </c>
      <c r="K3" s="12" t="inlineStr">
        <is>
          <t>ECB SSI / HBA data</t>
        </is>
      </c>
    </row>
    <row r="4" ht="35.05" customHeight="1" s="10">
      <c r="A4" s="12" t="inlineStr">
        <is>
          <t>Greece</t>
        </is>
      </c>
      <c r="B4" s="12" t="inlineStr">
        <is>
          <t>Sector (all banks)</t>
        </is>
      </c>
      <c r="C4" s="12" t="inlineStr">
        <is>
          <t>Bank branches</t>
        </is>
      </c>
      <c r="D4" s="12" t="inlineStr">
        <is>
          <t>count</t>
        </is>
      </c>
      <c r="E4" s="12" t="inlineStr">
        <is>
          <t>2016</t>
        </is>
      </c>
      <c r="F4" s="12" t="n">
        <v>2332</v>
      </c>
      <c r="G4" s="12" t="inlineStr">
        <is>
          <t>HBA Greek Banking System Overview Nov 2025</t>
        </is>
      </c>
      <c r="H4" s="12" t="inlineStr">
        <is>
          <t>https://www.hba.gr/UplDocs/Greek%20Banking%20System%20Overview_Nov.2025f.pdf</t>
        </is>
      </c>
      <c r="I4" s="12" t="inlineStr">
        <is>
          <t>2025-11</t>
        </is>
      </c>
      <c r="J4" s="12" t="inlineStr">
        <is>
          <t>Medium</t>
        </is>
      </c>
      <c r="K4" s="12" t="inlineStr">
        <is>
          <t>ECB SSI / HBA data</t>
        </is>
      </c>
    </row>
    <row r="5" ht="35.05" customHeight="1" s="10">
      <c r="A5" s="12" t="inlineStr">
        <is>
          <t>Greece</t>
        </is>
      </c>
      <c r="B5" s="12" t="inlineStr">
        <is>
          <t>Sector (all banks)</t>
        </is>
      </c>
      <c r="C5" s="12" t="inlineStr">
        <is>
          <t>Bank branches</t>
        </is>
      </c>
      <c r="D5" s="12" t="inlineStr">
        <is>
          <t>count</t>
        </is>
      </c>
      <c r="E5" s="12" t="inlineStr">
        <is>
          <t>2017</t>
        </is>
      </c>
      <c r="F5" s="12" t="n">
        <v>2168</v>
      </c>
      <c r="G5" s="12" t="inlineStr">
        <is>
          <t>HBA Greek Banking System Overview Nov 2025</t>
        </is>
      </c>
      <c r="H5" s="12" t="inlineStr">
        <is>
          <t>https://www.hba.gr/UplDocs/Greek%20Banking%20System%20Overview_Nov.2025f.pdf</t>
        </is>
      </c>
      <c r="I5" s="12" t="inlineStr">
        <is>
          <t>2025-11</t>
        </is>
      </c>
      <c r="J5" s="12" t="inlineStr">
        <is>
          <t>Medium</t>
        </is>
      </c>
      <c r="K5" s="12" t="inlineStr">
        <is>
          <t>ECB SSI / HBA data</t>
        </is>
      </c>
    </row>
    <row r="6" ht="35.05" customHeight="1" s="10">
      <c r="A6" s="12" t="inlineStr">
        <is>
          <t>Greece</t>
        </is>
      </c>
      <c r="B6" s="12" t="inlineStr">
        <is>
          <t>Sector (all banks)</t>
        </is>
      </c>
      <c r="C6" s="12" t="inlineStr">
        <is>
          <t>Bank branches</t>
        </is>
      </c>
      <c r="D6" s="12" t="inlineStr">
        <is>
          <t>count</t>
        </is>
      </c>
      <c r="E6" s="12" t="inlineStr">
        <is>
          <t>2018</t>
        </is>
      </c>
      <c r="F6" s="12" t="n">
        <v>1981</v>
      </c>
      <c r="G6" s="12" t="inlineStr">
        <is>
          <t>HBA Greek Banking System Overview Nov 2025</t>
        </is>
      </c>
      <c r="H6" s="12" t="inlineStr">
        <is>
          <t>https://www.hba.gr/UplDocs/Greek%20Banking%20System%20Overview_Nov.2025f.pdf</t>
        </is>
      </c>
      <c r="I6" s="12" t="inlineStr">
        <is>
          <t>2025-11</t>
        </is>
      </c>
      <c r="J6" s="12" t="inlineStr">
        <is>
          <t>Medium</t>
        </is>
      </c>
      <c r="K6" s="12" t="inlineStr">
        <is>
          <t>ECB SSI / HBA data</t>
        </is>
      </c>
    </row>
    <row r="7" ht="35.05" customHeight="1" s="10">
      <c r="A7" s="12" t="inlineStr">
        <is>
          <t>Greece</t>
        </is>
      </c>
      <c r="B7" s="12" t="inlineStr">
        <is>
          <t>Sector (all banks)</t>
        </is>
      </c>
      <c r="C7" s="12" t="inlineStr">
        <is>
          <t>Bank branches</t>
        </is>
      </c>
      <c r="D7" s="12" t="inlineStr">
        <is>
          <t>count</t>
        </is>
      </c>
      <c r="E7" s="12" t="inlineStr">
        <is>
          <t>2019</t>
        </is>
      </c>
      <c r="F7" s="12" t="n">
        <v>1834</v>
      </c>
      <c r="G7" s="12" t="inlineStr">
        <is>
          <t>HBA Greek Banking System Overview Nov 2025</t>
        </is>
      </c>
      <c r="H7" s="12" t="inlineStr">
        <is>
          <t>https://www.hba.gr/UplDocs/Greek%20Banking%20System%20Overview_Nov.2025f.pdf</t>
        </is>
      </c>
      <c r="I7" s="12" t="inlineStr">
        <is>
          <t>2025-11</t>
        </is>
      </c>
      <c r="J7" s="12" t="inlineStr">
        <is>
          <t>Medium</t>
        </is>
      </c>
      <c r="K7" s="12" t="inlineStr">
        <is>
          <t>ECB SSI / HBA data</t>
        </is>
      </c>
    </row>
    <row r="8" ht="35.05" customHeight="1" s="10">
      <c r="A8" s="12" t="inlineStr">
        <is>
          <t>Greece</t>
        </is>
      </c>
      <c r="B8" s="12" t="inlineStr">
        <is>
          <t>Sector (all banks)</t>
        </is>
      </c>
      <c r="C8" s="12" t="inlineStr">
        <is>
          <t>Bank branches</t>
        </is>
      </c>
      <c r="D8" s="12" t="inlineStr">
        <is>
          <t>count</t>
        </is>
      </c>
      <c r="E8" s="12" t="inlineStr">
        <is>
          <t>2020</t>
        </is>
      </c>
      <c r="F8" s="12" t="n">
        <v>1702</v>
      </c>
      <c r="G8" s="12" t="inlineStr">
        <is>
          <t>HBA Greek Banking System Overview Nov 2025</t>
        </is>
      </c>
      <c r="H8" s="12" t="inlineStr">
        <is>
          <t>https://www.hba.gr/UplDocs/Greek%20Banking%20System%20Overview_Nov.2025f.pdf</t>
        </is>
      </c>
      <c r="I8" s="12" t="inlineStr">
        <is>
          <t>2025-11</t>
        </is>
      </c>
      <c r="J8" s="12" t="inlineStr">
        <is>
          <t>Medium</t>
        </is>
      </c>
      <c r="K8" s="12" t="inlineStr">
        <is>
          <t>ECB SSI / HBA data</t>
        </is>
      </c>
    </row>
    <row r="9" ht="35.05" customHeight="1" s="10">
      <c r="A9" s="12" t="inlineStr">
        <is>
          <t>Greece</t>
        </is>
      </c>
      <c r="B9" s="12" t="inlineStr">
        <is>
          <t>Sector (all banks)</t>
        </is>
      </c>
      <c r="C9" s="12" t="inlineStr">
        <is>
          <t>Bank branches</t>
        </is>
      </c>
      <c r="D9" s="12" t="inlineStr">
        <is>
          <t>count</t>
        </is>
      </c>
      <c r="E9" s="12" t="inlineStr">
        <is>
          <t>2021</t>
        </is>
      </c>
      <c r="F9" s="12" t="n">
        <v>1560</v>
      </c>
      <c r="G9" s="12" t="inlineStr">
        <is>
          <t>HBA Greek Banking System Overview Nov 2025</t>
        </is>
      </c>
      <c r="H9" s="12" t="inlineStr">
        <is>
          <t>https://www.hba.gr/UplDocs/Greek%20Banking%20System%20Overview_Nov.2025f.pdf</t>
        </is>
      </c>
      <c r="I9" s="12" t="inlineStr">
        <is>
          <t>2025-11</t>
        </is>
      </c>
      <c r="J9" s="12" t="inlineStr">
        <is>
          <t>Medium</t>
        </is>
      </c>
      <c r="K9" s="12" t="inlineStr">
        <is>
          <t>ECB SSI / HBA data</t>
        </is>
      </c>
    </row>
    <row r="10" ht="35.05" customHeight="1" s="10">
      <c r="A10" s="12" t="inlineStr">
        <is>
          <t>Greece</t>
        </is>
      </c>
      <c r="B10" s="12" t="inlineStr">
        <is>
          <t>Sector (all banks)</t>
        </is>
      </c>
      <c r="C10" s="12" t="inlineStr">
        <is>
          <t>Bank branches</t>
        </is>
      </c>
      <c r="D10" s="12" t="inlineStr">
        <is>
          <t>count</t>
        </is>
      </c>
      <c r="E10" s="12" t="inlineStr">
        <is>
          <t>2022</t>
        </is>
      </c>
      <c r="F10" s="12" t="n">
        <v>1483</v>
      </c>
      <c r="G10" s="12" t="inlineStr">
        <is>
          <t>HBA Greek Banking System Overview Nov 2025</t>
        </is>
      </c>
      <c r="H10" s="12" t="inlineStr">
        <is>
          <t>https://www.hba.gr/UplDocs/Greek%20Banking%20System%20Overview_Nov.2025f.pdf</t>
        </is>
      </c>
      <c r="I10" s="12" t="inlineStr">
        <is>
          <t>2025-11</t>
        </is>
      </c>
      <c r="J10" s="12" t="inlineStr">
        <is>
          <t>Medium</t>
        </is>
      </c>
      <c r="K10" s="12" t="inlineStr">
        <is>
          <t>ECB SSI / HBA data</t>
        </is>
      </c>
    </row>
    <row r="11" ht="35.05" customHeight="1" s="10">
      <c r="A11" s="12" t="inlineStr">
        <is>
          <t>Greece</t>
        </is>
      </c>
      <c r="B11" s="12" t="inlineStr">
        <is>
          <t>Sector (all banks)</t>
        </is>
      </c>
      <c r="C11" s="12" t="inlineStr">
        <is>
          <t>Bank branches</t>
        </is>
      </c>
      <c r="D11" s="12" t="inlineStr">
        <is>
          <t>count</t>
        </is>
      </c>
      <c r="E11" s="12" t="inlineStr">
        <is>
          <t>2023</t>
        </is>
      </c>
      <c r="F11" s="12" t="n">
        <v>1414</v>
      </c>
      <c r="G11" s="12" t="inlineStr">
        <is>
          <t>HBA Greek Banking System Overview Nov 2025</t>
        </is>
      </c>
      <c r="H11" s="12" t="inlineStr">
        <is>
          <t>https://www.hba.gr/UplDocs/Greek%20Banking%20System%20Overview_Nov.2025f.pdf</t>
        </is>
      </c>
      <c r="I11" s="12" t="inlineStr">
        <is>
          <t>2025-11</t>
        </is>
      </c>
      <c r="J11" s="12" t="inlineStr">
        <is>
          <t>Medium</t>
        </is>
      </c>
      <c r="K11" s="12" t="inlineStr">
        <is>
          <t>ECB SSI / HBA data</t>
        </is>
      </c>
    </row>
    <row r="12" ht="35.05" customHeight="1" s="10">
      <c r="A12" s="12" t="inlineStr">
        <is>
          <t>Greece</t>
        </is>
      </c>
      <c r="B12" s="12" t="inlineStr">
        <is>
          <t>Sector (all banks)</t>
        </is>
      </c>
      <c r="C12" s="12" t="inlineStr">
        <is>
          <t>Bank branches</t>
        </is>
      </c>
      <c r="D12" s="12" t="inlineStr">
        <is>
          <t>count</t>
        </is>
      </c>
      <c r="E12" s="12" t="inlineStr">
        <is>
          <t>2024</t>
        </is>
      </c>
      <c r="F12" s="12" t="n">
        <v>1383</v>
      </c>
      <c r="G12" s="12" t="inlineStr">
        <is>
          <t>HBA Greek Banking System Overview Nov 2025</t>
        </is>
      </c>
      <c r="H12" s="12" t="inlineStr">
        <is>
          <t>https://www.hba.gr/UplDocs/Greek%20Banking%20System%20Overview_Nov.2025f.pdf</t>
        </is>
      </c>
      <c r="I12" s="12" t="inlineStr">
        <is>
          <t>2025-11</t>
        </is>
      </c>
      <c r="J12" s="12" t="inlineStr">
        <is>
          <t>Medium</t>
        </is>
      </c>
      <c r="K12" s="12" t="inlineStr">
        <is>
          <t>ECB SSI / HBA data</t>
        </is>
      </c>
    </row>
    <row r="13" ht="35.05" customHeight="1" s="10">
      <c r="A13" s="12" t="inlineStr">
        <is>
          <t>Greece</t>
        </is>
      </c>
      <c r="B13" s="12" t="inlineStr">
        <is>
          <t>Sector (all banks)</t>
        </is>
      </c>
      <c r="C13" s="12" t="inlineStr">
        <is>
          <t>ATMs</t>
        </is>
      </c>
      <c r="D13" s="12" t="inlineStr">
        <is>
          <t>count</t>
        </is>
      </c>
      <c r="E13" s="12" t="inlineStr">
        <is>
          <t>2014</t>
        </is>
      </c>
      <c r="F13" s="12" t="n">
        <v>5449</v>
      </c>
      <c r="G13" s="12" t="inlineStr">
        <is>
          <t>HBA Greek Banking System Overview Nov 2025</t>
        </is>
      </c>
      <c r="H13" s="12" t="inlineStr">
        <is>
          <t>https://www.hba.gr/UplDocs/Greek%20Banking%20System%20Overview_Nov.2025f.pdf</t>
        </is>
      </c>
      <c r="I13" s="12" t="inlineStr">
        <is>
          <t>2025-11</t>
        </is>
      </c>
      <c r="J13" s="12" t="inlineStr">
        <is>
          <t>Medium</t>
        </is>
      </c>
      <c r="K13" s="12" t="inlineStr">
        <is>
          <t>HBA data; ATMs grew while branches halved</t>
        </is>
      </c>
    </row>
    <row r="14" ht="35.05" customHeight="1" s="10">
      <c r="A14" s="12" t="inlineStr">
        <is>
          <t>Greece</t>
        </is>
      </c>
      <c r="B14" s="12" t="inlineStr">
        <is>
          <t>Sector (all banks)</t>
        </is>
      </c>
      <c r="C14" s="12" t="inlineStr">
        <is>
          <t>ATMs</t>
        </is>
      </c>
      <c r="D14" s="12" t="inlineStr">
        <is>
          <t>count</t>
        </is>
      </c>
      <c r="E14" s="12" t="inlineStr">
        <is>
          <t>2015</t>
        </is>
      </c>
      <c r="F14" s="12" t="n">
        <v>5257</v>
      </c>
      <c r="G14" s="12" t="inlineStr">
        <is>
          <t>HBA Greek Banking System Overview Nov 2025</t>
        </is>
      </c>
      <c r="H14" s="12" t="inlineStr">
        <is>
          <t>https://www.hba.gr/UplDocs/Greek%20Banking%20System%20Overview_Nov.2025f.pdf</t>
        </is>
      </c>
      <c r="I14" s="12" t="inlineStr">
        <is>
          <t>2025-11</t>
        </is>
      </c>
      <c r="J14" s="12" t="inlineStr">
        <is>
          <t>Medium</t>
        </is>
      </c>
      <c r="K14" s="12" t="inlineStr">
        <is>
          <t>HBA data; ATMs grew while branches halved</t>
        </is>
      </c>
    </row>
    <row r="15" ht="35.05" customHeight="1" s="10">
      <c r="A15" s="12" t="inlineStr">
        <is>
          <t>Greece</t>
        </is>
      </c>
      <c r="B15" s="12" t="inlineStr">
        <is>
          <t>Sector (all banks)</t>
        </is>
      </c>
      <c r="C15" s="12" t="inlineStr">
        <is>
          <t>ATMs</t>
        </is>
      </c>
      <c r="D15" s="12" t="inlineStr">
        <is>
          <t>count</t>
        </is>
      </c>
      <c r="E15" s="12" t="inlineStr">
        <is>
          <t>2016</t>
        </is>
      </c>
      <c r="F15" s="12" t="n">
        <v>5313</v>
      </c>
      <c r="G15" s="12" t="inlineStr">
        <is>
          <t>HBA Greek Banking System Overview Nov 2025</t>
        </is>
      </c>
      <c r="H15" s="12" t="inlineStr">
        <is>
          <t>https://www.hba.gr/UplDocs/Greek%20Banking%20System%20Overview_Nov.2025f.pdf</t>
        </is>
      </c>
      <c r="I15" s="12" t="inlineStr">
        <is>
          <t>2025-11</t>
        </is>
      </c>
      <c r="J15" s="12" t="inlineStr">
        <is>
          <t>Medium</t>
        </is>
      </c>
      <c r="K15" s="12" t="inlineStr">
        <is>
          <t>HBA data; ATMs grew while branches halved</t>
        </is>
      </c>
    </row>
    <row r="16" ht="35.05" customHeight="1" s="10">
      <c r="A16" s="12" t="inlineStr">
        <is>
          <t>Greece</t>
        </is>
      </c>
      <c r="B16" s="12" t="inlineStr">
        <is>
          <t>Sector (all banks)</t>
        </is>
      </c>
      <c r="C16" s="12" t="inlineStr">
        <is>
          <t>ATMs</t>
        </is>
      </c>
      <c r="D16" s="12" t="inlineStr">
        <is>
          <t>count</t>
        </is>
      </c>
      <c r="E16" s="12" t="inlineStr">
        <is>
          <t>2017</t>
        </is>
      </c>
      <c r="F16" s="12" t="n">
        <v>5505</v>
      </c>
      <c r="G16" s="12" t="inlineStr">
        <is>
          <t>HBA Greek Banking System Overview Nov 2025</t>
        </is>
      </c>
      <c r="H16" s="12" t="inlineStr">
        <is>
          <t>https://www.hba.gr/UplDocs/Greek%20Banking%20System%20Overview_Nov.2025f.pdf</t>
        </is>
      </c>
      <c r="I16" s="12" t="inlineStr">
        <is>
          <t>2025-11</t>
        </is>
      </c>
      <c r="J16" s="12" t="inlineStr">
        <is>
          <t>Medium</t>
        </is>
      </c>
      <c r="K16" s="12" t="inlineStr">
        <is>
          <t>HBA data; ATMs grew while branches halved</t>
        </is>
      </c>
    </row>
    <row r="17" ht="35.05" customHeight="1" s="10">
      <c r="A17" s="12" t="inlineStr">
        <is>
          <t>Greece</t>
        </is>
      </c>
      <c r="B17" s="12" t="inlineStr">
        <is>
          <t>Sector (all banks)</t>
        </is>
      </c>
      <c r="C17" s="12" t="inlineStr">
        <is>
          <t>ATMs</t>
        </is>
      </c>
      <c r="D17" s="12" t="inlineStr">
        <is>
          <t>count</t>
        </is>
      </c>
      <c r="E17" s="12" t="inlineStr">
        <is>
          <t>2018</t>
        </is>
      </c>
      <c r="F17" s="12" t="n">
        <v>5625</v>
      </c>
      <c r="G17" s="12" t="inlineStr">
        <is>
          <t>HBA Greek Banking System Overview Nov 2025</t>
        </is>
      </c>
      <c r="H17" s="12" t="inlineStr">
        <is>
          <t>https://www.hba.gr/UplDocs/Greek%20Banking%20System%20Overview_Nov.2025f.pdf</t>
        </is>
      </c>
      <c r="I17" s="12" t="inlineStr">
        <is>
          <t>2025-11</t>
        </is>
      </c>
      <c r="J17" s="12" t="inlineStr">
        <is>
          <t>Medium</t>
        </is>
      </c>
      <c r="K17" s="12" t="inlineStr">
        <is>
          <t>HBA data; ATMs grew while branches halved</t>
        </is>
      </c>
    </row>
    <row r="18" ht="35.05" customHeight="1" s="10">
      <c r="A18" s="12" t="inlineStr">
        <is>
          <t>Greece</t>
        </is>
      </c>
      <c r="B18" s="12" t="inlineStr">
        <is>
          <t>Sector (all banks)</t>
        </is>
      </c>
      <c r="C18" s="12" t="inlineStr">
        <is>
          <t>ATMs</t>
        </is>
      </c>
      <c r="D18" s="12" t="inlineStr">
        <is>
          <t>count</t>
        </is>
      </c>
      <c r="E18" s="12" t="inlineStr">
        <is>
          <t>2019</t>
        </is>
      </c>
      <c r="F18" s="12" t="n">
        <v>5854</v>
      </c>
      <c r="G18" s="12" t="inlineStr">
        <is>
          <t>HBA Greek Banking System Overview Nov 2025</t>
        </is>
      </c>
      <c r="H18" s="12" t="inlineStr">
        <is>
          <t>https://www.hba.gr/UplDocs/Greek%20Banking%20System%20Overview_Nov.2025f.pdf</t>
        </is>
      </c>
      <c r="I18" s="12" t="inlineStr">
        <is>
          <t>2025-11</t>
        </is>
      </c>
      <c r="J18" s="12" t="inlineStr">
        <is>
          <t>Medium</t>
        </is>
      </c>
      <c r="K18" s="12" t="inlineStr">
        <is>
          <t>HBA data; ATMs grew while branches halved</t>
        </is>
      </c>
    </row>
    <row r="19" ht="35.05" customHeight="1" s="10">
      <c r="A19" s="12" t="inlineStr">
        <is>
          <t>Greece</t>
        </is>
      </c>
      <c r="B19" s="12" t="inlineStr">
        <is>
          <t>Sector (all banks)</t>
        </is>
      </c>
      <c r="C19" s="12" t="inlineStr">
        <is>
          <t>ATMs</t>
        </is>
      </c>
      <c r="D19" s="12" t="inlineStr">
        <is>
          <t>count</t>
        </is>
      </c>
      <c r="E19" s="12" t="inlineStr">
        <is>
          <t>2020</t>
        </is>
      </c>
      <c r="F19" s="12" t="n">
        <v>5925</v>
      </c>
      <c r="G19" s="12" t="inlineStr">
        <is>
          <t>HBA Greek Banking System Overview Nov 2025</t>
        </is>
      </c>
      <c r="H19" s="12" t="inlineStr">
        <is>
          <t>https://www.hba.gr/UplDocs/Greek%20Banking%20System%20Overview_Nov.2025f.pdf</t>
        </is>
      </c>
      <c r="I19" s="12" t="inlineStr">
        <is>
          <t>2025-11</t>
        </is>
      </c>
      <c r="J19" s="12" t="inlineStr">
        <is>
          <t>Medium</t>
        </is>
      </c>
      <c r="K19" s="12" t="inlineStr">
        <is>
          <t>HBA data; ATMs grew while branches halved</t>
        </is>
      </c>
    </row>
    <row r="20" ht="35.05" customHeight="1" s="10">
      <c r="A20" s="12" t="inlineStr">
        <is>
          <t>Greece</t>
        </is>
      </c>
      <c r="B20" s="12" t="inlineStr">
        <is>
          <t>Sector (all banks)</t>
        </is>
      </c>
      <c r="C20" s="12" t="inlineStr">
        <is>
          <t>ATMs</t>
        </is>
      </c>
      <c r="D20" s="12" t="inlineStr">
        <is>
          <t>count</t>
        </is>
      </c>
      <c r="E20" s="12" t="inlineStr">
        <is>
          <t>2021</t>
        </is>
      </c>
      <c r="F20" s="12" t="n">
        <v>5928</v>
      </c>
      <c r="G20" s="12" t="inlineStr">
        <is>
          <t>HBA Greek Banking System Overview Nov 2025</t>
        </is>
      </c>
      <c r="H20" s="12" t="inlineStr">
        <is>
          <t>https://www.hba.gr/UplDocs/Greek%20Banking%20System%20Overview_Nov.2025f.pdf</t>
        </is>
      </c>
      <c r="I20" s="12" t="inlineStr">
        <is>
          <t>2025-11</t>
        </is>
      </c>
      <c r="J20" s="12" t="inlineStr">
        <is>
          <t>Medium</t>
        </is>
      </c>
      <c r="K20" s="12" t="inlineStr">
        <is>
          <t>HBA data; ATMs grew while branches halved</t>
        </is>
      </c>
    </row>
    <row r="21" ht="35.05" customHeight="1" s="10">
      <c r="A21" s="12" t="inlineStr">
        <is>
          <t>Greece</t>
        </is>
      </c>
      <c r="B21" s="12" t="inlineStr">
        <is>
          <t>Sector (all banks)</t>
        </is>
      </c>
      <c r="C21" s="12" t="inlineStr">
        <is>
          <t>ATMs</t>
        </is>
      </c>
      <c r="D21" s="12" t="inlineStr">
        <is>
          <t>count</t>
        </is>
      </c>
      <c r="E21" s="12" t="inlineStr">
        <is>
          <t>2022</t>
        </is>
      </c>
      <c r="F21" s="12" t="n">
        <v>6040</v>
      </c>
      <c r="G21" s="12" t="inlineStr">
        <is>
          <t>HBA Greek Banking System Overview Nov 2025</t>
        </is>
      </c>
      <c r="H21" s="12" t="inlineStr">
        <is>
          <t>https://www.hba.gr/UplDocs/Greek%20Banking%20System%20Overview_Nov.2025f.pdf</t>
        </is>
      </c>
      <c r="I21" s="12" t="inlineStr">
        <is>
          <t>2025-11</t>
        </is>
      </c>
      <c r="J21" s="12" t="inlineStr">
        <is>
          <t>Medium</t>
        </is>
      </c>
      <c r="K21" s="12" t="inlineStr">
        <is>
          <t>HBA data; ATMs grew while branches halved</t>
        </is>
      </c>
    </row>
    <row r="22" ht="35.05" customHeight="1" s="10">
      <c r="A22" s="12" t="inlineStr">
        <is>
          <t>Greece</t>
        </is>
      </c>
      <c r="B22" s="12" t="inlineStr">
        <is>
          <t>Sector (all banks)</t>
        </is>
      </c>
      <c r="C22" s="12" t="inlineStr">
        <is>
          <t>ATMs</t>
        </is>
      </c>
      <c r="D22" s="12" t="inlineStr">
        <is>
          <t>count</t>
        </is>
      </c>
      <c r="E22" s="12" t="inlineStr">
        <is>
          <t>2023</t>
        </is>
      </c>
      <c r="F22" s="12" t="n">
        <v>5953</v>
      </c>
      <c r="G22" s="12" t="inlineStr">
        <is>
          <t>HBA Greek Banking System Overview Nov 2025</t>
        </is>
      </c>
      <c r="H22" s="12" t="inlineStr">
        <is>
          <t>https://www.hba.gr/UplDocs/Greek%20Banking%20System%20Overview_Nov.2025f.pdf</t>
        </is>
      </c>
      <c r="I22" s="12" t="inlineStr">
        <is>
          <t>2025-11</t>
        </is>
      </c>
      <c r="J22" s="12" t="inlineStr">
        <is>
          <t>Medium</t>
        </is>
      </c>
      <c r="K22" s="12" t="inlineStr">
        <is>
          <t>HBA data; ATMs grew while branches halved</t>
        </is>
      </c>
    </row>
    <row r="23" ht="35.05" customHeight="1" s="10">
      <c r="A23" s="12" t="inlineStr">
        <is>
          <t>Greece</t>
        </is>
      </c>
      <c r="B23" s="12" t="inlineStr">
        <is>
          <t>Sector (all banks)</t>
        </is>
      </c>
      <c r="C23" s="12" t="inlineStr">
        <is>
          <t>ATMs</t>
        </is>
      </c>
      <c r="D23" s="12" t="inlineStr">
        <is>
          <t>count</t>
        </is>
      </c>
      <c r="E23" s="12" t="inlineStr">
        <is>
          <t>2024</t>
        </is>
      </c>
      <c r="F23" s="12" t="n">
        <v>6167</v>
      </c>
      <c r="G23" s="12" t="inlineStr">
        <is>
          <t>HBA Greek Banking System Overview Nov 2025</t>
        </is>
      </c>
      <c r="H23" s="12" t="inlineStr">
        <is>
          <t>https://www.hba.gr/UplDocs/Greek%20Banking%20System%20Overview_Nov.2025f.pdf</t>
        </is>
      </c>
      <c r="I23" s="12" t="inlineStr">
        <is>
          <t>2025-11</t>
        </is>
      </c>
      <c r="J23" s="12" t="inlineStr">
        <is>
          <t>Medium</t>
        </is>
      </c>
      <c r="K23" s="12" t="inlineStr">
        <is>
          <t>HBA data; ATMs grew while branches halved</t>
        </is>
      </c>
    </row>
    <row r="24" ht="35.05" customHeight="1" s="10">
      <c r="A24" s="12" t="inlineStr">
        <is>
          <t>Greece</t>
        </is>
      </c>
      <c r="B24" s="12" t="inlineStr">
        <is>
          <t>Sector (all banks)</t>
        </is>
      </c>
      <c r="C24" s="12" t="inlineStr">
        <is>
          <t>Bank employees</t>
        </is>
      </c>
      <c r="D24" s="12" t="inlineStr">
        <is>
          <t>count</t>
        </is>
      </c>
      <c r="E24" s="12" t="inlineStr">
        <is>
          <t>2014</t>
        </is>
      </c>
      <c r="F24" s="12" t="n">
        <v>45654</v>
      </c>
      <c r="G24" s="12" t="inlineStr">
        <is>
          <t>HBA Greek Banking System Overview Nov 2025</t>
        </is>
      </c>
      <c r="H24" s="12" t="inlineStr">
        <is>
          <t>https://www.hba.gr/UplDocs/Greek%20Banking%20System%20Overview_Nov.2025f.pdf</t>
        </is>
      </c>
      <c r="I24" s="12" t="inlineStr">
        <is>
          <t>2025-11</t>
        </is>
      </c>
      <c r="J24" s="12" t="inlineStr">
        <is>
          <t>Medium</t>
        </is>
      </c>
      <c r="K24" s="12" t="n"/>
    </row>
    <row r="25" ht="35.05" customHeight="1" s="10">
      <c r="A25" s="12" t="inlineStr">
        <is>
          <t>Greece</t>
        </is>
      </c>
      <c r="B25" s="12" t="inlineStr">
        <is>
          <t>Sector (all banks)</t>
        </is>
      </c>
      <c r="C25" s="12" t="inlineStr">
        <is>
          <t>Bank employees</t>
        </is>
      </c>
      <c r="D25" s="12" t="inlineStr">
        <is>
          <t>count</t>
        </is>
      </c>
      <c r="E25" s="12" t="inlineStr">
        <is>
          <t>2020</t>
        </is>
      </c>
      <c r="F25" s="12" t="n">
        <v>33097</v>
      </c>
      <c r="G25" s="12" t="inlineStr">
        <is>
          <t>HBA Greek Banking System Overview Nov 2025</t>
        </is>
      </c>
      <c r="H25" s="12" t="inlineStr">
        <is>
          <t>https://www.hba.gr/UplDocs/Greek%20Banking%20System%20Overview_Nov.2025f.pdf</t>
        </is>
      </c>
      <c r="I25" s="12" t="inlineStr">
        <is>
          <t>2025-11</t>
        </is>
      </c>
      <c r="J25" s="12" t="inlineStr">
        <is>
          <t>Medium</t>
        </is>
      </c>
      <c r="K25" s="12" t="n"/>
    </row>
    <row r="26" ht="35.05" customHeight="1" s="10">
      <c r="A26" s="12" t="inlineStr">
        <is>
          <t>Greece</t>
        </is>
      </c>
      <c r="B26" s="12" t="inlineStr">
        <is>
          <t>Sector (all banks)</t>
        </is>
      </c>
      <c r="C26" s="12" t="inlineStr">
        <is>
          <t>Bank employees</t>
        </is>
      </c>
      <c r="D26" s="12" t="inlineStr">
        <is>
          <t>count</t>
        </is>
      </c>
      <c r="E26" s="12" t="inlineStr">
        <is>
          <t>2024</t>
        </is>
      </c>
      <c r="F26" s="12" t="n">
        <v>27650</v>
      </c>
      <c r="G26" s="12" t="inlineStr">
        <is>
          <t>HBA Greek Banking System Overview Nov 2025</t>
        </is>
      </c>
      <c r="H26" s="12" t="inlineStr">
        <is>
          <t>https://www.hba.gr/UplDocs/Greek%20Banking%20System%20Overview_Nov.2025f.pdf</t>
        </is>
      </c>
      <c r="I26" s="12" t="inlineStr">
        <is>
          <t>2025-11</t>
        </is>
      </c>
      <c r="J26" s="12" t="inlineStr">
        <is>
          <t>Medium</t>
        </is>
      </c>
      <c r="K26" s="12" t="inlineStr">
        <is>
          <t>-39.4% vs 2014, via voluntary exit schemes</t>
        </is>
      </c>
    </row>
    <row r="27" ht="35.05" customHeight="1" s="10">
      <c r="A27" s="12" t="inlineStr">
        <is>
          <t>Greece</t>
        </is>
      </c>
      <c r="B27" s="12" t="inlineStr">
        <is>
          <t>Sector (all banks)</t>
        </is>
      </c>
      <c r="C27" s="12" t="inlineStr">
        <is>
          <t>Active payment cards</t>
        </is>
      </c>
      <c r="D27" s="12" t="inlineStr">
        <is>
          <t>millions</t>
        </is>
      </c>
      <c r="E27" s="12" t="inlineStr">
        <is>
          <t>2020</t>
        </is>
      </c>
      <c r="F27" s="12" t="n">
        <v>18.1</v>
      </c>
      <c r="G27" s="12" t="inlineStr">
        <is>
          <t>HBA Greek Banking System Overview Nov 2025</t>
        </is>
      </c>
      <c r="H27" s="12" t="inlineStr">
        <is>
          <t>https://www.hba.gr/UplDocs/Greek%20Banking%20System%20Overview_Nov.2025f.pdf</t>
        </is>
      </c>
      <c r="I27" s="12" t="inlineStr">
        <is>
          <t>2025-11</t>
        </is>
      </c>
      <c r="J27" s="12" t="inlineStr">
        <is>
          <t>Medium</t>
        </is>
      </c>
      <c r="K27" s="12" t="inlineStr">
        <is>
          <t>75.2% debit in 2024</t>
        </is>
      </c>
    </row>
    <row r="28" ht="35.05" customHeight="1" s="10">
      <c r="A28" s="12" t="inlineStr">
        <is>
          <t>Greece</t>
        </is>
      </c>
      <c r="B28" s="12" t="inlineStr">
        <is>
          <t>Sector (all banks)</t>
        </is>
      </c>
      <c r="C28" s="12" t="inlineStr">
        <is>
          <t>Active payment cards</t>
        </is>
      </c>
      <c r="D28" s="12" t="inlineStr">
        <is>
          <t>millions</t>
        </is>
      </c>
      <c r="E28" s="12" t="inlineStr">
        <is>
          <t>2024</t>
        </is>
      </c>
      <c r="F28" s="12" t="n">
        <v>21.7</v>
      </c>
      <c r="G28" s="12" t="inlineStr">
        <is>
          <t>HBA Greek Banking System Overview Nov 2025</t>
        </is>
      </c>
      <c r="H28" s="12" t="inlineStr">
        <is>
          <t>https://www.hba.gr/UplDocs/Greek%20Banking%20System%20Overview_Nov.2025f.pdf</t>
        </is>
      </c>
      <c r="I28" s="12" t="inlineStr">
        <is>
          <t>2025-11</t>
        </is>
      </c>
      <c r="J28" s="12" t="inlineStr">
        <is>
          <t>Medium</t>
        </is>
      </c>
      <c r="K28" s="12" t="n"/>
    </row>
    <row r="29" ht="35.05" customHeight="1" s="10">
      <c r="A29" s="12" t="inlineStr">
        <is>
          <t>Greece</t>
        </is>
      </c>
      <c r="B29" s="12" t="inlineStr">
        <is>
          <t>Sector (all banks)</t>
        </is>
      </c>
      <c r="C29" s="12" t="inlineStr">
        <is>
          <t>Domestic card payment transactions</t>
        </is>
      </c>
      <c r="D29" s="12" t="inlineStr">
        <is>
          <t>millions/yr</t>
        </is>
      </c>
      <c r="E29" s="12" t="inlineStr">
        <is>
          <t>2020</t>
        </is>
      </c>
      <c r="F29" s="12" t="n">
        <v>1204</v>
      </c>
      <c r="G29" s="12" t="inlineStr">
        <is>
          <t>HBA Greek Banking System Overview Nov 2025</t>
        </is>
      </c>
      <c r="H29" s="12" t="inlineStr">
        <is>
          <t>https://www.hba.gr/UplDocs/Greek%20Banking%20System%20Overview_Nov.2025f.pdf</t>
        </is>
      </c>
      <c r="I29" s="12" t="inlineStr">
        <is>
          <t>2025-11</t>
        </is>
      </c>
      <c r="J29" s="12" t="inlineStr">
        <is>
          <t>Medium</t>
        </is>
      </c>
      <c r="K29" s="12" t="n"/>
    </row>
    <row r="30" ht="35.05" customHeight="1" s="10">
      <c r="A30" s="12" t="inlineStr">
        <is>
          <t>Greece</t>
        </is>
      </c>
      <c r="B30" s="12" t="inlineStr">
        <is>
          <t>Sector (all banks)</t>
        </is>
      </c>
      <c r="C30" s="12" t="inlineStr">
        <is>
          <t>Domestic card payment transactions</t>
        </is>
      </c>
      <c r="D30" s="12" t="inlineStr">
        <is>
          <t>millions/yr</t>
        </is>
      </c>
      <c r="E30" s="12" t="inlineStr">
        <is>
          <t>2024</t>
        </is>
      </c>
      <c r="F30" s="12" t="n">
        <v>2284</v>
      </c>
      <c r="G30" s="12" t="inlineStr">
        <is>
          <t>HBA Greek Banking System Overview Nov 2025</t>
        </is>
      </c>
      <c r="H30" s="12" t="inlineStr">
        <is>
          <t>https://www.hba.gr/UplDocs/Greek%20Banking%20System%20Overview_Nov.2025f.pdf</t>
        </is>
      </c>
      <c r="I30" s="12" t="inlineStr">
        <is>
          <t>2025-11</t>
        </is>
      </c>
      <c r="J30" s="12" t="inlineStr">
        <is>
          <t>Medium</t>
        </is>
      </c>
      <c r="K30" s="12" t="inlineStr">
        <is>
          <t>Near-doubling in 4 years</t>
        </is>
      </c>
    </row>
    <row r="31" ht="35.05" customHeight="1" s="10">
      <c r="A31" s="12" t="inlineStr">
        <is>
          <t>Greece</t>
        </is>
      </c>
      <c r="B31" s="12" t="inlineStr">
        <is>
          <t>Sector (all banks)</t>
        </is>
      </c>
      <c r="C31" s="12" t="inlineStr">
        <is>
          <t>Domestic card payments value</t>
        </is>
      </c>
      <c r="D31" s="12" t="inlineStr">
        <is>
          <t>EUR bn/yr</t>
        </is>
      </c>
      <c r="E31" s="12" t="inlineStr">
        <is>
          <t>2020</t>
        </is>
      </c>
      <c r="F31" s="12" t="n">
        <v>34.1</v>
      </c>
      <c r="G31" s="12" t="inlineStr">
        <is>
          <t>HBA Greek Banking System Overview Nov 2025</t>
        </is>
      </c>
      <c r="H31" s="12" t="inlineStr">
        <is>
          <t>https://www.hba.gr/UplDocs/Greek%20Banking%20System%20Overview_Nov.2025f.pdf</t>
        </is>
      </c>
      <c r="I31" s="12" t="inlineStr">
        <is>
          <t>2025-11</t>
        </is>
      </c>
      <c r="J31" s="12" t="inlineStr">
        <is>
          <t>Medium</t>
        </is>
      </c>
      <c r="K31" s="12" t="n"/>
    </row>
    <row r="32" ht="35.05" customHeight="1" s="10">
      <c r="A32" s="12" t="inlineStr">
        <is>
          <t>Greece</t>
        </is>
      </c>
      <c r="B32" s="12" t="inlineStr">
        <is>
          <t>Sector (all banks)</t>
        </is>
      </c>
      <c r="C32" s="12" t="inlineStr">
        <is>
          <t>Domestic card payments value</t>
        </is>
      </c>
      <c r="D32" s="12" t="inlineStr">
        <is>
          <t>EUR bn/yr</t>
        </is>
      </c>
      <c r="E32" s="12" t="inlineStr">
        <is>
          <t>2024</t>
        </is>
      </c>
      <c r="F32" s="12" t="n">
        <v>63.2</v>
      </c>
      <c r="G32" s="12" t="inlineStr">
        <is>
          <t>HBA Greek Banking System Overview Nov 2025</t>
        </is>
      </c>
      <c r="H32" s="12" t="inlineStr">
        <is>
          <t>https://www.hba.gr/UplDocs/Greek%20Banking%20System%20Overview_Nov.2025f.pdf</t>
        </is>
      </c>
      <c r="I32" s="12" t="inlineStr">
        <is>
          <t>2025-11</t>
        </is>
      </c>
      <c r="J32" s="12" t="inlineStr">
        <is>
          <t>Medium</t>
        </is>
      </c>
      <c r="K32" s="12" t="n"/>
    </row>
    <row r="33" ht="35.05" customHeight="1" s="10">
      <c r="A33" s="12" t="inlineStr">
        <is>
          <t>Greece</t>
        </is>
      </c>
      <c r="B33" s="12" t="inlineStr">
        <is>
          <t>Sector (all banks)</t>
        </is>
      </c>
      <c r="C33" s="12" t="inlineStr">
        <is>
          <t>Mobile banking active users</t>
        </is>
      </c>
      <c r="D33" s="12" t="inlineStr">
        <is>
          <t>millions</t>
        </is>
      </c>
      <c r="E33" s="12" t="inlineStr">
        <is>
          <t>2025-06</t>
        </is>
      </c>
      <c r="F33" s="12" t="n">
        <v>6.9</v>
      </c>
      <c r="G33" s="12" t="inlineStr">
        <is>
          <t>HBA Greek Banking System Overview Nov 2025</t>
        </is>
      </c>
      <c r="H33" s="12" t="inlineStr">
        <is>
          <t>https://www.hba.gr/UplDocs/Greek%20Banking%20System%20Overview_Nov.2025f.pdf</t>
        </is>
      </c>
      <c r="I33" s="12" t="inlineStr">
        <is>
          <t>2025-11</t>
        </is>
      </c>
      <c r="J33" s="12" t="inlineStr">
        <is>
          <t>Medium</t>
        </is>
      </c>
      <c r="K33" s="12" t="inlineStr">
        <is>
          <t>~60% of money transfers via mobile apps</t>
        </is>
      </c>
    </row>
    <row r="34" ht="35.05" customHeight="1" s="10">
      <c r="A34" s="12" t="inlineStr">
        <is>
          <t>Greece</t>
        </is>
      </c>
      <c r="B34" s="12" t="inlineStr">
        <is>
          <t>Sector (all banks)</t>
        </is>
      </c>
      <c r="C34" s="12" t="inlineStr">
        <is>
          <t>Internet banking active users</t>
        </is>
      </c>
      <c r="D34" s="12" t="inlineStr">
        <is>
          <t>millions</t>
        </is>
      </c>
      <c r="E34" s="12" t="inlineStr">
        <is>
          <t>2025-06</t>
        </is>
      </c>
      <c r="F34" s="12" t="n">
        <v>3.6</v>
      </c>
      <c r="G34" s="12" t="inlineStr">
        <is>
          <t>HBA Greek Banking System Overview Nov 2025</t>
        </is>
      </c>
      <c r="H34" s="12" t="inlineStr">
        <is>
          <t>https://www.hba.gr/UplDocs/Greek%20Banking%20System%20Overview_Nov.2025f.pdf</t>
        </is>
      </c>
      <c r="I34" s="12" t="inlineStr">
        <is>
          <t>2025-11</t>
        </is>
      </c>
      <c r="J34" s="12" t="inlineStr">
        <is>
          <t>Medium</t>
        </is>
      </c>
      <c r="K34" s="12" t="n"/>
    </row>
    <row r="35" ht="35.05" customHeight="1" s="10">
      <c r="A35" s="12" t="inlineStr">
        <is>
          <t>Greece</t>
        </is>
      </c>
      <c r="B35" s="12" t="inlineStr">
        <is>
          <t>Sector (all banks)</t>
        </is>
      </c>
      <c r="C35" s="12" t="inlineStr">
        <is>
          <t>ATM cash withdrawals value, YoY</t>
        </is>
      </c>
      <c r="D35" s="12" t="inlineStr">
        <is>
          <t>% YoY</t>
        </is>
      </c>
      <c r="E35" s="12" t="inlineStr">
        <is>
          <t>9M 2025</t>
        </is>
      </c>
      <c r="F35" s="12" t="n">
        <v>1.2</v>
      </c>
      <c r="G35" s="12" t="inlineStr">
        <is>
          <t>HBA Greek Banking System Overview Nov 2025</t>
        </is>
      </c>
      <c r="H35" s="12" t="inlineStr">
        <is>
          <t>https://www.hba.gr/UplDocs/Greek%20Banking%20System%20Overview_Nov.2025f.pdf</t>
        </is>
      </c>
      <c r="I35" s="12" t="inlineStr">
        <is>
          <t>2025-11</t>
        </is>
      </c>
      <c r="J35" s="12" t="inlineStr">
        <is>
          <t>Medium</t>
        </is>
      </c>
      <c r="K35" s="12" t="inlineStr">
        <is>
          <t>Cash demand still slightly growing despite digital shift</t>
        </is>
      </c>
    </row>
    <row r="36" ht="35.05" customHeight="1" s="10">
      <c r="A36" s="12" t="inlineStr">
        <is>
          <t>Greece</t>
        </is>
      </c>
      <c r="B36" s="12" t="inlineStr">
        <is>
          <t>Sector (all banks)</t>
        </is>
      </c>
      <c r="C36" s="12" t="inlineStr">
        <is>
          <t>Cost-to-income ratio</t>
        </is>
      </c>
      <c r="D36" s="12" t="inlineStr">
        <is>
          <t>%</t>
        </is>
      </c>
      <c r="E36" s="12" t="inlineStr">
        <is>
          <t>1H 2024</t>
        </is>
      </c>
      <c r="F36" s="12" t="n">
        <v>33.3</v>
      </c>
      <c r="G36" s="12" t="inlineStr">
        <is>
          <t>HBA Greek Banking System Overview Nov 2025 (BoG FSR)</t>
        </is>
      </c>
      <c r="H36" s="12" t="inlineStr">
        <is>
          <t>https://www.hba.gr/UplDocs/Greek%20Banking%20System%20Overview_Nov.2025f.pdf</t>
        </is>
      </c>
      <c r="I36" s="12" t="inlineStr">
        <is>
          <t>2025-11</t>
        </is>
      </c>
      <c r="J36" s="12" t="inlineStr">
        <is>
          <t>Medium</t>
        </is>
      </c>
      <c r="K36" s="12" t="n"/>
    </row>
    <row r="37" ht="35.05" customHeight="1" s="10">
      <c r="A37" s="12" t="inlineStr">
        <is>
          <t>Greece</t>
        </is>
      </c>
      <c r="B37" s="12" t="inlineStr">
        <is>
          <t>Sector (all banks)</t>
        </is>
      </c>
      <c r="C37" s="12" t="inlineStr">
        <is>
          <t>Cost-to-income ratio</t>
        </is>
      </c>
      <c r="D37" s="12" t="inlineStr">
        <is>
          <t>%</t>
        </is>
      </c>
      <c r="E37" s="12" t="inlineStr">
        <is>
          <t>1H 2025</t>
        </is>
      </c>
      <c r="F37" s="12" t="n">
        <v>36.9</v>
      </c>
      <c r="G37" s="12" t="inlineStr">
        <is>
          <t>HBA Greek Banking System Overview Nov 2025 (BoG FSR)</t>
        </is>
      </c>
      <c r="H37" s="12" t="inlineStr">
        <is>
          <t>https://www.hba.gr/UplDocs/Greek%20Banking%20System%20Overview_Nov.2025f.pdf</t>
        </is>
      </c>
      <c r="I37" s="12" t="inlineStr">
        <is>
          <t>2025-11</t>
        </is>
      </c>
      <c r="J37" s="12" t="inlineStr">
        <is>
          <t>Medium</t>
        </is>
      </c>
      <c r="K37" s="12" t="inlineStr">
        <is>
          <t>Opex +12.6% YoY (staff &amp; admin) — banks are spending again</t>
        </is>
      </c>
    </row>
    <row r="38" ht="35.05" customHeight="1" s="10">
      <c r="A38" s="12" t="inlineStr">
        <is>
          <t>Greece</t>
        </is>
      </c>
      <c r="B38" s="12" t="inlineStr">
        <is>
          <t>Sector (all banks)</t>
        </is>
      </c>
      <c r="C38" s="12" t="inlineStr">
        <is>
          <t>eKYC unique users via gov.gr</t>
        </is>
      </c>
      <c r="D38" s="12" t="inlineStr">
        <is>
          <t>millions</t>
        </is>
      </c>
      <c r="E38" s="12" t="inlineStr">
        <is>
          <t>2024</t>
        </is>
      </c>
      <c r="F38" s="12" t="n">
        <v>1.8</v>
      </c>
      <c r="G38" s="12" t="inlineStr">
        <is>
          <t>HBA Greek Banking System Overview Nov 2025</t>
        </is>
      </c>
      <c r="H38" s="12" t="inlineStr">
        <is>
          <t>https://www.hba.gr/UplDocs/Greek%20Banking%20System%20Overview_Nov.2025f.pdf</t>
        </is>
      </c>
      <c r="I38" s="12" t="inlineStr">
        <is>
          <t>2025-11</t>
        </is>
      </c>
      <c r="J38" s="12" t="inlineStr">
        <is>
          <t>Medium</t>
        </is>
      </c>
      <c r="K38" s="12" t="inlineStr">
        <is>
          <t>Fully digital onboarding/AML</t>
        </is>
      </c>
    </row>
    <row r="39" ht="23.85" customHeight="1" s="10">
      <c r="A39" s="12" t="inlineStr">
        <is>
          <t>Greece</t>
        </is>
      </c>
      <c r="B39" s="12" t="inlineStr">
        <is>
          <t>Piraeus Bank</t>
        </is>
      </c>
      <c r="C39" s="12" t="inlineStr">
        <is>
          <t>Branches</t>
        </is>
      </c>
      <c r="D39" s="12" t="inlineStr">
        <is>
          <t>count</t>
        </is>
      </c>
      <c r="E39" s="12" t="inlineStr">
        <is>
          <t>~2025 (undated)</t>
        </is>
      </c>
      <c r="F39" s="12" t="n">
        <v>378</v>
      </c>
      <c r="G39" s="12" t="inlineStr">
        <is>
          <t>advratings.com aggregator</t>
        </is>
      </c>
      <c r="H39" s="12" t="inlineStr">
        <is>
          <t>https://www.advratings.com/europe/banks-in-greece</t>
        </is>
      </c>
      <c r="I39" s="12" t="inlineStr">
        <is>
          <t>2026-06 (accessed)</t>
        </is>
      </c>
      <c r="J39" s="12" t="inlineStr">
        <is>
          <t>Low</t>
        </is>
      </c>
      <c r="K39" s="12" t="inlineStr">
        <is>
          <t>Undated snapshot; replace with annual-report figure</t>
        </is>
      </c>
    </row>
    <row r="40" ht="23.85" customHeight="1" s="10">
      <c r="A40" s="12" t="inlineStr">
        <is>
          <t>Greece</t>
        </is>
      </c>
      <c r="B40" s="12" t="inlineStr">
        <is>
          <t>Piraeus Bank</t>
        </is>
      </c>
      <c r="C40" s="12" t="inlineStr">
        <is>
          <t>ATMs</t>
        </is>
      </c>
      <c r="D40" s="12" t="inlineStr">
        <is>
          <t>count</t>
        </is>
      </c>
      <c r="E40" s="12" t="inlineStr">
        <is>
          <t>~2025 (undated)</t>
        </is>
      </c>
      <c r="F40" s="12" t="n">
        <v>2061</v>
      </c>
      <c r="G40" s="12" t="inlineStr">
        <is>
          <t>advratings.com aggregator</t>
        </is>
      </c>
      <c r="H40" s="12" t="inlineStr">
        <is>
          <t>https://www.advratings.com/europe/banks-in-greece</t>
        </is>
      </c>
      <c r="I40" s="12" t="inlineStr">
        <is>
          <t>2026-06 (accessed)</t>
        </is>
      </c>
      <c r="J40" s="12" t="inlineStr">
        <is>
          <t>Low</t>
        </is>
      </c>
      <c r="K40" s="12" t="inlineStr">
        <is>
          <t>Largest ATM fleet in Greece</t>
        </is>
      </c>
    </row>
    <row r="41" ht="23.85" customHeight="1" s="10">
      <c r="A41" s="12" t="inlineStr">
        <is>
          <t>Greece</t>
        </is>
      </c>
      <c r="B41" s="12" t="inlineStr">
        <is>
          <t>NBG</t>
        </is>
      </c>
      <c r="C41" s="12" t="inlineStr">
        <is>
          <t>Branches</t>
        </is>
      </c>
      <c r="D41" s="12" t="inlineStr">
        <is>
          <t>count</t>
        </is>
      </c>
      <c r="E41" s="12" t="inlineStr">
        <is>
          <t>~2025 (undated)</t>
        </is>
      </c>
      <c r="F41" s="12" t="n">
        <v>356</v>
      </c>
      <c r="G41" s="12" t="inlineStr">
        <is>
          <t>advratings.com aggregator</t>
        </is>
      </c>
      <c r="H41" s="12" t="inlineStr">
        <is>
          <t>https://www.advratings.com/europe/banks-in-greece</t>
        </is>
      </c>
      <c r="I41" s="12" t="inlineStr">
        <is>
          <t>2026-06 (accessed)</t>
        </is>
      </c>
      <c r="J41" s="12" t="inlineStr">
        <is>
          <t>Low</t>
        </is>
      </c>
      <c r="K41" s="12" t="n"/>
    </row>
    <row r="42" ht="23.85" customHeight="1" s="10">
      <c r="A42" s="12" t="inlineStr">
        <is>
          <t>Greece</t>
        </is>
      </c>
      <c r="B42" s="12" t="inlineStr">
        <is>
          <t>NBG</t>
        </is>
      </c>
      <c r="C42" s="12" t="inlineStr">
        <is>
          <t>ATMs</t>
        </is>
      </c>
      <c r="D42" s="12" t="inlineStr">
        <is>
          <t>count</t>
        </is>
      </c>
      <c r="E42" s="12" t="inlineStr">
        <is>
          <t>~2025 (undated)</t>
        </is>
      </c>
      <c r="F42" s="12" t="n">
        <v>1476</v>
      </c>
      <c r="G42" s="12" t="inlineStr">
        <is>
          <t>advratings.com aggregator</t>
        </is>
      </c>
      <c r="H42" s="12" t="inlineStr">
        <is>
          <t>https://www.advratings.com/europe/banks-in-greece</t>
        </is>
      </c>
      <c r="I42" s="12" t="inlineStr">
        <is>
          <t>2026-06 (accessed)</t>
        </is>
      </c>
      <c r="J42" s="12" t="inlineStr">
        <is>
          <t>Low</t>
        </is>
      </c>
      <c r="K42" s="12" t="n"/>
    </row>
    <row r="43" ht="23.85" customHeight="1" s="10">
      <c r="A43" s="12" t="inlineStr">
        <is>
          <t>Greece</t>
        </is>
      </c>
      <c r="B43" s="12" t="inlineStr">
        <is>
          <t>Alpha Bank</t>
        </is>
      </c>
      <c r="C43" s="12" t="inlineStr">
        <is>
          <t>Branches</t>
        </is>
      </c>
      <c r="D43" s="12" t="inlineStr">
        <is>
          <t>count</t>
        </is>
      </c>
      <c r="E43" s="12" t="inlineStr">
        <is>
          <t>~2025 (undated)</t>
        </is>
      </c>
      <c r="F43" s="12" t="n">
        <v>251</v>
      </c>
      <c r="G43" s="12" t="inlineStr">
        <is>
          <t>advratings.com aggregator</t>
        </is>
      </c>
      <c r="H43" s="12" t="inlineStr">
        <is>
          <t>https://www.advratings.com/europe/banks-in-greece</t>
        </is>
      </c>
      <c r="I43" s="12" t="inlineStr">
        <is>
          <t>2026-06 (accessed)</t>
        </is>
      </c>
      <c r="J43" s="12" t="inlineStr">
        <is>
          <t>Low</t>
        </is>
      </c>
      <c r="K43" s="12" t="inlineStr">
        <is>
          <t>Wikipedia cites 272 branches in 2025 — inconsistent, verify in FY2025 report</t>
        </is>
      </c>
    </row>
    <row r="44" ht="23.85" customHeight="1" s="10">
      <c r="A44" s="12" t="inlineStr">
        <is>
          <t>Greece</t>
        </is>
      </c>
      <c r="B44" s="12" t="inlineStr">
        <is>
          <t>Alpha Bank</t>
        </is>
      </c>
      <c r="C44" s="12" t="inlineStr">
        <is>
          <t>ATMs</t>
        </is>
      </c>
      <c r="D44" s="12" t="inlineStr">
        <is>
          <t>count</t>
        </is>
      </c>
      <c r="E44" s="12" t="inlineStr">
        <is>
          <t>~2025 (undated)</t>
        </is>
      </c>
      <c r="F44" s="12" t="n">
        <v>1191</v>
      </c>
      <c r="G44" s="12" t="inlineStr">
        <is>
          <t>advratings.com aggregator</t>
        </is>
      </c>
      <c r="H44" s="12" t="inlineStr">
        <is>
          <t>https://www.advratings.com/europe/banks-in-greece</t>
        </is>
      </c>
      <c r="I44" s="12" t="inlineStr">
        <is>
          <t>2026-06 (accessed)</t>
        </is>
      </c>
      <c r="J44" s="12" t="inlineStr">
        <is>
          <t>Low</t>
        </is>
      </c>
      <c r="K44" s="12" t="n"/>
    </row>
    <row r="45" ht="23.85" customHeight="1" s="10">
      <c r="A45" s="12" t="inlineStr">
        <is>
          <t>Greece</t>
        </is>
      </c>
      <c r="B45" s="12" t="inlineStr">
        <is>
          <t>Eurobank</t>
        </is>
      </c>
      <c r="C45" s="12" t="inlineStr">
        <is>
          <t>Branches</t>
        </is>
      </c>
      <c r="D45" s="12" t="inlineStr">
        <is>
          <t>count</t>
        </is>
      </c>
      <c r="E45" s="12" t="inlineStr">
        <is>
          <t>~2025 (undated)</t>
        </is>
      </c>
      <c r="F45" s="12" t="n">
        <v>268</v>
      </c>
      <c r="G45" s="12" t="inlineStr">
        <is>
          <t>advratings.com aggregator</t>
        </is>
      </c>
      <c r="H45" s="12" t="inlineStr">
        <is>
          <t>https://www.advratings.com/europe/banks-in-greece</t>
        </is>
      </c>
      <c r="I45" s="12" t="inlineStr">
        <is>
          <t>2026-06 (accessed)</t>
        </is>
      </c>
      <c r="J45" s="12" t="inlineStr">
        <is>
          <t>Low</t>
        </is>
      </c>
      <c r="K45" s="12" t="n"/>
    </row>
    <row r="46" ht="23.85" customHeight="1" s="10">
      <c r="A46" s="12" t="inlineStr">
        <is>
          <t>Romania</t>
        </is>
      </c>
      <c r="B46" s="12" t="inlineStr">
        <is>
          <t>Banca Transilvania</t>
        </is>
      </c>
      <c r="C46" s="12" t="inlineStr">
        <is>
          <t>Locations (branches+offices)</t>
        </is>
      </c>
      <c r="D46" s="12" t="inlineStr">
        <is>
          <t>count</t>
        </is>
      </c>
      <c r="E46" s="12" t="inlineStr">
        <is>
          <t>2024</t>
        </is>
      </c>
      <c r="F46" s="12" t="n">
        <v>513</v>
      </c>
      <c r="G46" s="12" t="inlineStr">
        <is>
          <t>Wikipedia / Valahia.News</t>
        </is>
      </c>
      <c r="H46" s="12" t="inlineStr">
        <is>
          <t>https://en.wikipedia.org/wiki/Banca_Transilvania</t>
        </is>
      </c>
      <c r="I46" s="12" t="inlineStr">
        <is>
          <t>2024</t>
        </is>
      </c>
      <c r="J46" s="12" t="inlineStr">
        <is>
          <t>Low</t>
        </is>
      </c>
      <c r="K46" s="12" t="inlineStr">
        <is>
          <t>Group also reported as 534 branches/offices serving 4.84m clients</t>
        </is>
      </c>
    </row>
    <row r="47" ht="23.85" customHeight="1" s="10">
      <c r="A47" s="12" t="inlineStr">
        <is>
          <t>Romania</t>
        </is>
      </c>
      <c r="B47" s="12" t="inlineStr">
        <is>
          <t>Banca Transilvania</t>
        </is>
      </c>
      <c r="C47" s="12" t="inlineStr">
        <is>
          <t>Active clients (group)</t>
        </is>
      </c>
      <c r="D47" s="12" t="inlineStr">
        <is>
          <t>millions</t>
        </is>
      </c>
      <c r="E47" s="12" t="inlineStr">
        <is>
          <t>2026-Q1</t>
        </is>
      </c>
      <c r="F47" s="12" t="n">
        <v>4.97</v>
      </c>
      <c r="G47" s="12" t="inlineStr">
        <is>
          <t>BT Q1 2026 results / Romania Insider</t>
        </is>
      </c>
      <c r="H47" s="12" t="inlineStr">
        <is>
          <t>https://www.romania-insider.com/banca-transilvania-results-q1-2026</t>
        </is>
      </c>
      <c r="I47" s="12" t="inlineStr">
        <is>
          <t>2026-05-22</t>
        </is>
      </c>
      <c r="J47" s="12" t="inlineStr">
        <is>
          <t>Medium</t>
        </is>
      </c>
      <c r="K47" s="12" t="inlineStr">
        <is>
          <t>'Approaching 5 million'; +140k in Q1 2026</t>
        </is>
      </c>
    </row>
    <row r="48" ht="23.85" customHeight="1" s="10">
      <c r="A48" s="12" t="inlineStr">
        <is>
          <t>Romania</t>
        </is>
      </c>
      <c r="B48" s="12" t="inlineStr">
        <is>
          <t>Banca Transilvania</t>
        </is>
      </c>
      <c r="C48" s="12" t="inlineStr">
        <is>
          <t>IT capex</t>
        </is>
      </c>
      <c r="D48" s="12" t="inlineStr">
        <is>
          <t>RON m/yr</t>
        </is>
      </c>
      <c r="E48" s="12" t="inlineStr">
        <is>
          <t>2024</t>
        </is>
      </c>
      <c r="F48" s="12" t="n">
        <v>600</v>
      </c>
      <c r="G48" s="12" t="inlineStr">
        <is>
          <t>press coverage of BT results</t>
        </is>
      </c>
      <c r="H48" s="12" t="inlineStr">
        <is>
          <t>https://www.bancatransilvania.ro/en/investor-relations/financial</t>
        </is>
      </c>
      <c r="I48" s="12" t="inlineStr">
        <is>
          <t>2025</t>
        </is>
      </c>
      <c r="J48" s="12" t="inlineStr">
        <is>
          <t>Low</t>
        </is>
      </c>
      <c r="K48" s="12" t="inlineStr">
        <is>
          <t>~EUR 120m; figure from secondary coverage — verify in FY2024 report</t>
        </is>
      </c>
    </row>
    <row r="49" ht="35.05" customHeight="1" s="10">
      <c r="A49" s="12" t="inlineStr">
        <is>
          <t>Romania</t>
        </is>
      </c>
      <c r="B49" s="12" t="inlineStr">
        <is>
          <t>Banca Transilvania</t>
        </is>
      </c>
      <c r="C49" s="12" t="inlineStr">
        <is>
          <t>Investment plan (mainly IT/digital)</t>
        </is>
      </c>
      <c r="D49" s="12" t="inlineStr">
        <is>
          <t>RON m/yr</t>
        </is>
      </c>
      <c r="E49" s="12" t="inlineStr">
        <is>
          <t>2026</t>
        </is>
      </c>
      <c r="F49" s="12" t="n">
        <v>1017</v>
      </c>
      <c r="G49" s="12" t="inlineStr">
        <is>
          <t>BT Q1 2026 presentation</t>
        </is>
      </c>
      <c r="H49" s="12" t="inlineStr">
        <is>
          <t>https://www.bancatransilvania.ro/files/app/media/Investor-Relations/Financial-Results/2026/1st-Quarter/Presentation.pdf</t>
        </is>
      </c>
      <c r="I49" s="12" t="inlineStr">
        <is>
          <t>2026-05-26</t>
        </is>
      </c>
      <c r="J49" s="12" t="inlineStr">
        <is>
          <t>Medium</t>
        </is>
      </c>
      <c r="K49" s="12" t="inlineStr">
        <is>
          <t>+20.6% YoY → implies ~RON 843m 2025 base (derived)</t>
        </is>
      </c>
    </row>
    <row r="50" ht="23.85" customHeight="1" s="10">
      <c r="A50" s="12" t="inlineStr">
        <is>
          <t>Romania</t>
        </is>
      </c>
      <c r="B50" s="12" t="inlineStr">
        <is>
          <t>BCR (Erste)</t>
        </is>
      </c>
      <c r="C50" s="12" t="inlineStr">
        <is>
          <t>George digital users</t>
        </is>
      </c>
      <c r="D50" s="12" t="inlineStr">
        <is>
          <t>millions</t>
        </is>
      </c>
      <c r="E50" s="12" t="inlineStr">
        <is>
          <t>2024</t>
        </is>
      </c>
      <c r="F50" s="12" t="n">
        <v>2.53</v>
      </c>
      <c r="G50" s="12" t="inlineStr">
        <is>
          <t>BCR FY2024 results press release</t>
        </is>
      </c>
      <c r="H50" s="12" t="inlineStr">
        <is>
          <t>https://www.bcr.ro/en/press/press-release/2025/02/28/bcr-group-financial-results-2024</t>
        </is>
      </c>
      <c r="I50" s="12" t="inlineStr">
        <is>
          <t>2025-02-28</t>
        </is>
      </c>
      <c r="J50" s="12" t="inlineStr">
        <is>
          <t>Medium</t>
        </is>
      </c>
      <c r="K50" s="12" t="inlineStr">
        <is>
          <t>~2m products opened digitally in 2024</t>
        </is>
      </c>
    </row>
    <row r="51" ht="23.85" customHeight="1" s="10">
      <c r="A51" s="12" t="inlineStr">
        <is>
          <t>Romania</t>
        </is>
      </c>
      <c r="B51" s="12" t="inlineStr">
        <is>
          <t>BCR (Erste)</t>
        </is>
      </c>
      <c r="C51" s="12" t="inlineStr">
        <is>
          <t>Branches redesigned (new model)</t>
        </is>
      </c>
      <c r="D51" s="12" t="inlineStr">
        <is>
          <t>% of network</t>
        </is>
      </c>
      <c r="E51" s="12" t="inlineStr">
        <is>
          <t>2025</t>
        </is>
      </c>
      <c r="F51" s="12" t="n">
        <v>30</v>
      </c>
      <c r="G51" s="12" t="inlineStr">
        <is>
          <t>BCR FY2025 results press release</t>
        </is>
      </c>
      <c r="H51" s="12" t="inlineStr">
        <is>
          <t>https://www.bcr.ro/en/press/press-release/2026/02/26/bcr-group-financial-results-2025</t>
        </is>
      </c>
      <c r="I51" s="12" t="inlineStr">
        <is>
          <t>2026-02-26</t>
        </is>
      </c>
      <c r="J51" s="12" t="inlineStr">
        <is>
          <t>Medium</t>
        </is>
      </c>
      <c r="K51" s="12" t="inlineStr">
        <is>
          <t>'Over 30%' — branch modernization program ongoing</t>
        </is>
      </c>
    </row>
    <row r="52" ht="23.85" customHeight="1" s="10">
      <c r="A52" s="12" t="inlineStr">
        <is>
          <t>Romania</t>
        </is>
      </c>
      <c r="B52" s="12" t="inlineStr">
        <is>
          <t>BCR (Erste)</t>
        </is>
      </c>
      <c r="C52" s="12" t="inlineStr">
        <is>
          <t>Retail investment transactions via digital</t>
        </is>
      </c>
      <c r="D52" s="12" t="inlineStr">
        <is>
          <t>%</t>
        </is>
      </c>
      <c r="E52" s="12" t="inlineStr">
        <is>
          <t>2025</t>
        </is>
      </c>
      <c r="F52" s="12" t="n">
        <v>97</v>
      </c>
      <c r="G52" s="12" t="inlineStr">
        <is>
          <t>BCR FY2025 results press release</t>
        </is>
      </c>
      <c r="H52" s="12" t="inlineStr">
        <is>
          <t>https://www.bcr.ro/en/press/press-release/2026/02/26/bcr-group-financial-results-2025</t>
        </is>
      </c>
      <c r="I52" s="12" t="inlineStr">
        <is>
          <t>2026-02-26</t>
        </is>
      </c>
      <c r="J52" s="12" t="inlineStr">
        <is>
          <t>Medium</t>
        </is>
      </c>
      <c r="K52" s="12" t="n"/>
    </row>
    <row r="53" ht="15" customHeight="1" s="10">
      <c r="A53" s="12" t="inlineStr">
        <is>
          <t>Bulgaria</t>
        </is>
      </c>
      <c r="B53" s="12" t="inlineStr">
        <is>
          <t>UBB (KBC)</t>
        </is>
      </c>
      <c r="C53" s="12" t="inlineStr">
        <is>
          <t>Market share by assets</t>
        </is>
      </c>
      <c r="D53" s="12" t="inlineStr">
        <is>
          <t>%</t>
        </is>
      </c>
      <c r="E53" s="12" t="inlineStr">
        <is>
          <t>2025</t>
        </is>
      </c>
      <c r="F53" s="12" t="n">
        <v>19.6</v>
      </c>
      <c r="G53" s="12" t="inlineStr">
        <is>
          <t>thebanks.eu</t>
        </is>
      </c>
      <c r="H53" s="12" t="inlineStr">
        <is>
          <t>https://thebanks.eu/countries/Bulgaria/major_banks</t>
        </is>
      </c>
      <c r="I53" s="12" t="inlineStr">
        <is>
          <t>2025</t>
        </is>
      </c>
      <c r="J53" s="12" t="inlineStr">
        <is>
          <t>Low</t>
        </is>
      </c>
      <c r="K53" s="12" t="inlineStr">
        <is>
          <t>Largest bank; BGN 44.5bn assets</t>
        </is>
      </c>
    </row>
    <row r="54" ht="15" customHeight="1" s="10">
      <c r="A54" s="12" t="inlineStr">
        <is>
          <t>Bulgaria</t>
        </is>
      </c>
      <c r="B54" s="12" t="inlineStr">
        <is>
          <t>DSK (OTP)</t>
        </is>
      </c>
      <c r="C54" s="12" t="inlineStr">
        <is>
          <t>Market share by assets</t>
        </is>
      </c>
      <c r="D54" s="12" t="inlineStr">
        <is>
          <t>%</t>
        </is>
      </c>
      <c r="E54" s="12" t="inlineStr">
        <is>
          <t>2025</t>
        </is>
      </c>
      <c r="F54" s="12" t="n">
        <v>18.93</v>
      </c>
      <c r="G54" s="12" t="inlineStr">
        <is>
          <t>thebanks.eu</t>
        </is>
      </c>
      <c r="H54" s="12" t="inlineStr">
        <is>
          <t>https://thebanks.eu/countries/Bulgaria/major_banks</t>
        </is>
      </c>
      <c r="I54" s="12" t="inlineStr">
        <is>
          <t>2025</t>
        </is>
      </c>
      <c r="J54" s="12" t="inlineStr">
        <is>
          <t>Low</t>
        </is>
      </c>
      <c r="K54" s="12" t="inlineStr">
        <is>
          <t>BGN 43.0bn assets</t>
        </is>
      </c>
    </row>
    <row r="55" ht="15" customHeight="1" s="10">
      <c r="A55" s="12" t="inlineStr">
        <is>
          <t>Bulgaria</t>
        </is>
      </c>
      <c r="B55" s="12" t="inlineStr">
        <is>
          <t>UniCredit Bulbank</t>
        </is>
      </c>
      <c r="C55" s="12" t="inlineStr">
        <is>
          <t>Market share by assets</t>
        </is>
      </c>
      <c r="D55" s="12" t="inlineStr">
        <is>
          <t>%</t>
        </is>
      </c>
      <c r="E55" s="12" t="inlineStr">
        <is>
          <t>2025</t>
        </is>
      </c>
      <c r="F55" s="12" t="n">
        <v>18.07</v>
      </c>
      <c r="G55" s="12" t="inlineStr">
        <is>
          <t>thebanks.eu</t>
        </is>
      </c>
      <c r="H55" s="12" t="inlineStr">
        <is>
          <t>https://thebanks.eu/countries/Bulgaria/major_banks</t>
        </is>
      </c>
      <c r="I55" s="12" t="inlineStr">
        <is>
          <t>2025</t>
        </is>
      </c>
      <c r="J55" s="12" t="inlineStr">
        <is>
          <t>Low</t>
        </is>
      </c>
      <c r="K55" s="12" t="inlineStr">
        <is>
          <t>BGN 41.0bn assets</t>
        </is>
      </c>
    </row>
    <row r="56" ht="23.85" customHeight="1" s="10">
      <c r="A56" s="12" t="inlineStr">
        <is>
          <t>Bulgaria</t>
        </is>
      </c>
      <c r="B56" s="12" t="inlineStr">
        <is>
          <t>DSK (OTP)</t>
        </is>
      </c>
      <c r="C56" s="12" t="inlineStr">
        <is>
          <t>Branches / ATMs</t>
        </is>
      </c>
      <c r="D56" s="12" t="inlineStr">
        <is>
          <t>count</t>
        </is>
      </c>
      <c r="E56" s="12" t="inlineStr">
        <is>
          <t>2025-08</t>
        </is>
      </c>
      <c r="F56" s="12" t="inlineStr">
        <is>
          <t>272 / 874</t>
        </is>
      </c>
      <c r="G56" s="12" t="inlineStr">
        <is>
          <t>aggregator (atmfeesaver/thebanks.eu)</t>
        </is>
      </c>
      <c r="H56" s="12" t="inlineStr">
        <is>
          <t>https://thebanks.eu/countries/Bulgaria/major_banks</t>
        </is>
      </c>
      <c r="I56" s="12" t="inlineStr">
        <is>
          <t>2025-08</t>
        </is>
      </c>
      <c r="J56" s="12" t="inlineStr">
        <is>
          <t>Low</t>
        </is>
      </c>
      <c r="K56" s="12" t="inlineStr">
        <is>
          <t>Later snapshot shows 343/730 — inconsistent, verify with bank</t>
        </is>
      </c>
    </row>
    <row r="57" ht="23.85" customHeight="1" s="10">
      <c r="A57" s="12" t="inlineStr">
        <is>
          <t>Bulgaria</t>
        </is>
      </c>
      <c r="B57" s="12" t="inlineStr">
        <is>
          <t>UBB (KBC)</t>
        </is>
      </c>
      <c r="C57" s="12" t="inlineStr">
        <is>
          <t>Branches / ATMs</t>
        </is>
      </c>
      <c r="D57" s="12" t="inlineStr">
        <is>
          <t>count</t>
        </is>
      </c>
      <c r="E57" s="12" t="inlineStr">
        <is>
          <t>2025-08</t>
        </is>
      </c>
      <c r="F57" s="12" t="inlineStr">
        <is>
          <t>174 / 998</t>
        </is>
      </c>
      <c r="G57" s="12" t="inlineStr">
        <is>
          <t>aggregator (atmfeesaver/thebanks.eu)</t>
        </is>
      </c>
      <c r="H57" s="12" t="inlineStr">
        <is>
          <t>https://thebanks.eu/countries/Bulgaria/major_banks</t>
        </is>
      </c>
      <c r="I57" s="12" t="inlineStr">
        <is>
          <t>2025-08</t>
        </is>
      </c>
      <c r="J57" s="12" t="inlineStr">
        <is>
          <t>Low</t>
        </is>
      </c>
      <c r="K57" s="12" t="inlineStr">
        <is>
          <t>Later snapshot 172/937; KBC Q1 2026 deck: 176 branches</t>
        </is>
      </c>
    </row>
    <row r="58" ht="15" customHeight="1" s="10">
      <c r="A58" s="12" t="inlineStr">
        <is>
          <t>Bulgaria</t>
        </is>
      </c>
      <c r="B58" s="12" t="inlineStr">
        <is>
          <t>UniCredit Bulbank</t>
        </is>
      </c>
      <c r="C58" s="12" t="inlineStr">
        <is>
          <t>Branches / ATMs</t>
        </is>
      </c>
      <c r="D58" s="12" t="inlineStr">
        <is>
          <t>count</t>
        </is>
      </c>
      <c r="E58" s="12" t="inlineStr">
        <is>
          <t>2025-08</t>
        </is>
      </c>
      <c r="F58" s="12" t="inlineStr">
        <is>
          <t>162 / 748</t>
        </is>
      </c>
      <c r="G58" s="12" t="inlineStr">
        <is>
          <t>aggregator (atmfeesaver/thebanks.eu)</t>
        </is>
      </c>
      <c r="H58" s="12" t="inlineStr">
        <is>
          <t>https://thebanks.eu/countries/Bulgaria/major_banks</t>
        </is>
      </c>
      <c r="I58" s="12" t="inlineStr">
        <is>
          <t>2025-08</t>
        </is>
      </c>
      <c r="J58" s="12" t="inlineStr">
        <is>
          <t>Low</t>
        </is>
      </c>
      <c r="K58" s="12" t="inlineStr">
        <is>
          <t>Later snapshot 162/755 — stable</t>
        </is>
      </c>
    </row>
    <row r="59" ht="35.05" customHeight="1" s="10">
      <c r="A59" s="12" t="inlineStr">
        <is>
          <t>Bulgaria</t>
        </is>
      </c>
      <c r="B59" s="12" t="inlineStr">
        <is>
          <t>KBC Bulgaria (UBB)</t>
        </is>
      </c>
      <c r="C59" s="12" t="inlineStr">
        <is>
          <t>Branches</t>
        </is>
      </c>
      <c r="D59" s="12" t="inlineStr">
        <is>
          <t>count</t>
        </is>
      </c>
      <c r="E59" s="12" t="inlineStr">
        <is>
          <t>2026-Q1</t>
        </is>
      </c>
      <c r="F59" s="12" t="n">
        <v>176</v>
      </c>
      <c r="G59" s="12" t="inlineStr">
        <is>
          <t>KBC Q1 2026 slides (Investing.com)</t>
        </is>
      </c>
      <c r="H59" s="12" t="inlineStr">
        <is>
          <t>https://au.investing.com/news/company-news/kbc-group-q1-2026-slides-strong-profit-amid-hefty-tax-burden-93CH-4425886</t>
        </is>
      </c>
      <c r="I59" s="12" t="inlineStr">
        <is>
          <t>2026-05-12</t>
        </is>
      </c>
      <c r="J59" s="12" t="inlineStr">
        <is>
          <t>Medium</t>
        </is>
      </c>
      <c r="K59" s="12" t="n"/>
    </row>
    <row r="60" ht="23.85" customHeight="1" s="10">
      <c r="A60" s="12" t="inlineStr">
        <is>
          <t>Serbia</t>
        </is>
      </c>
      <c r="B60" s="12" t="inlineStr">
        <is>
          <t>Sector</t>
        </is>
      </c>
      <c r="C60" s="12" t="inlineStr">
        <is>
          <t>Commercial bank branches per 100k adults</t>
        </is>
      </c>
      <c r="D60" s="12" t="inlineStr">
        <is>
          <t>ratio</t>
        </is>
      </c>
      <c r="E60" s="12" t="inlineStr">
        <is>
          <t>2023</t>
        </is>
      </c>
      <c r="F60" s="12" t="n">
        <v>24</v>
      </c>
      <c r="G60" s="12" t="inlineStr">
        <is>
          <t>World Bank via TradingEconomics</t>
        </is>
      </c>
      <c r="H60" s="12" t="inlineStr">
        <is>
          <t>https://tradingeconomics.com/serbia/commercial-bank-branches-per-100-000-adults-wb-data.html</t>
        </is>
      </c>
      <c r="I60" s="12" t="inlineStr">
        <is>
          <t>2024</t>
        </is>
      </c>
      <c r="J60" s="12" t="inlineStr">
        <is>
          <t>Medium</t>
        </is>
      </c>
      <c r="K60" s="12" t="n"/>
    </row>
    <row r="61" ht="23.85" customHeight="1" s="10">
      <c r="A61" s="12" t="inlineStr">
        <is>
          <t>Serbia</t>
        </is>
      </c>
      <c r="B61" s="12" t="inlineStr">
        <is>
          <t>Sector</t>
        </is>
      </c>
      <c r="C61" s="12" t="inlineStr">
        <is>
          <t>Commercial bank branches per 100k adults</t>
        </is>
      </c>
      <c r="D61" s="12" t="inlineStr">
        <is>
          <t>ratio</t>
        </is>
      </c>
      <c r="E61" s="12" t="inlineStr">
        <is>
          <t>2024</t>
        </is>
      </c>
      <c r="F61" s="12" t="n">
        <v>23.97</v>
      </c>
      <c r="G61" s="12" t="inlineStr">
        <is>
          <t>World Bank via TradingEconomics</t>
        </is>
      </c>
      <c r="H61" s="12" t="inlineStr">
        <is>
          <t>https://tradingeconomics.com/serbia/commercial-bank-branches-per-100-000-adults-wb-data.html</t>
        </is>
      </c>
      <c r="I61" s="12" t="inlineStr">
        <is>
          <t>2025</t>
        </is>
      </c>
      <c r="J61" s="12" t="inlineStr">
        <is>
          <t>Medium</t>
        </is>
      </c>
      <c r="K61" s="12" t="inlineStr">
        <is>
          <t>Essentially flat — Serbia not closing branches at EU pace</t>
        </is>
      </c>
    </row>
    <row r="62" ht="23.85" customHeight="1" s="10">
      <c r="A62" s="12" t="inlineStr">
        <is>
          <t>Serbia</t>
        </is>
      </c>
      <c r="B62" s="12" t="inlineStr">
        <is>
          <t>Banca Intesa Beograd</t>
        </is>
      </c>
      <c r="C62" s="12" t="inlineStr">
        <is>
          <t>Branches</t>
        </is>
      </c>
      <c r="D62" s="12" t="inlineStr">
        <is>
          <t>count</t>
        </is>
      </c>
      <c r="E62" s="12" t="inlineStr">
        <is>
          <t>2025</t>
        </is>
      </c>
      <c r="F62" s="12" t="n">
        <v>147</v>
      </c>
      <c r="G62" s="12" t="inlineStr">
        <is>
          <t>thebanks.eu / Wikipedia</t>
        </is>
      </c>
      <c r="H62" s="12" t="inlineStr">
        <is>
          <t>https://thebanks.eu/banks/18519</t>
        </is>
      </c>
      <c r="I62" s="12" t="inlineStr">
        <is>
          <t>2025</t>
        </is>
      </c>
      <c r="J62" s="12" t="inlineStr">
        <is>
          <t>Low</t>
        </is>
      </c>
      <c r="K62" s="12" t="inlineStr">
        <is>
          <t>Largest bank, ~15.3% market share, RSD 1,073bn assets</t>
        </is>
      </c>
    </row>
    <row r="63" ht="15" customHeight="1" s="10">
      <c r="A63" s="12" t="inlineStr">
        <is>
          <t>Serbia</t>
        </is>
      </c>
      <c r="B63" s="12" t="inlineStr">
        <is>
          <t>NLB Komercijalna</t>
        </is>
      </c>
      <c r="C63" s="12" t="inlineStr">
        <is>
          <t>Market share by assets</t>
        </is>
      </c>
      <c r="D63" s="12" t="inlineStr">
        <is>
          <t>%</t>
        </is>
      </c>
      <c r="E63" s="12" t="inlineStr">
        <is>
          <t>2025</t>
        </is>
      </c>
      <c r="F63" s="12" t="n">
        <v>10.16</v>
      </c>
      <c r="G63" s="12" t="inlineStr">
        <is>
          <t>thebanks.eu</t>
        </is>
      </c>
      <c r="H63" s="12" t="inlineStr">
        <is>
          <t>https://thebanks.eu/countries/Serbia/major_banks</t>
        </is>
      </c>
      <c r="I63" s="12" t="inlineStr">
        <is>
          <t>2025</t>
        </is>
      </c>
      <c r="J63" s="12" t="inlineStr">
        <is>
          <t>Low</t>
        </is>
      </c>
      <c r="K63" s="12" t="inlineStr">
        <is>
          <t>RSD 711.6bn assets, 6th largest</t>
        </is>
      </c>
    </row>
    <row r="64" ht="46.25" customHeight="1" s="10">
      <c r="A64" s="12" t="inlineStr">
        <is>
          <t>Cyprus</t>
        </is>
      </c>
      <c r="B64" s="12" t="inlineStr">
        <is>
          <t>Hellenic Bank</t>
        </is>
      </c>
      <c r="C64" s="12" t="inlineStr">
        <is>
          <t>Branches</t>
        </is>
      </c>
      <c r="D64" s="12" t="inlineStr">
        <is>
          <t>count</t>
        </is>
      </c>
      <c r="E64" s="12" t="inlineStr">
        <is>
          <t>2023-12</t>
        </is>
      </c>
      <c r="F64" s="12" t="n">
        <v>53</v>
      </c>
      <c r="G64" s="12" t="inlineStr">
        <is>
          <t>Hellenic Bank FY2023 Annual Financial Report</t>
        </is>
      </c>
      <c r="H64" s="12" t="inlineStr">
        <is>
          <t>https://www.hellenicbank.com/-/media/hbc/announcements/2024/april/12m2023/annual-financial-report-of-the-hellenic-bank-group-for-the-year-ended-31-december-2023.pdf</t>
        </is>
      </c>
      <c r="I64" s="12" t="inlineStr">
        <is>
          <t>2024-04</t>
        </is>
      </c>
      <c r="J64" s="12" t="inlineStr">
        <is>
          <t>Medium</t>
        </is>
      </c>
      <c r="K64" s="12" t="inlineStr">
        <is>
          <t>54 at Sep 2023</t>
        </is>
      </c>
    </row>
    <row r="65" ht="46.25" customHeight="1" s="10">
      <c r="A65" s="12" t="inlineStr">
        <is>
          <t>Cyprus</t>
        </is>
      </c>
      <c r="B65" s="12" t="inlineStr">
        <is>
          <t>Hellenic Bank</t>
        </is>
      </c>
      <c r="C65" s="12" t="inlineStr">
        <is>
          <t>ATMs</t>
        </is>
      </c>
      <c r="D65" s="12" t="inlineStr">
        <is>
          <t>count</t>
        </is>
      </c>
      <c r="E65" s="12" t="inlineStr">
        <is>
          <t>2023-12</t>
        </is>
      </c>
      <c r="F65" s="12" t="n">
        <v>156</v>
      </c>
      <c r="G65" s="12" t="inlineStr">
        <is>
          <t>Hellenic Bank FY2023 Annual Financial Report</t>
        </is>
      </c>
      <c r="H65" s="12" t="inlineStr">
        <is>
          <t>https://www.hellenicbank.com/-/media/hbc/announcements/2024/april/12m2023/annual-financial-report-of-the-hellenic-bank-group-for-the-year-ended-31-december-2023.pdf</t>
        </is>
      </c>
      <c r="I65" s="12" t="inlineStr">
        <is>
          <t>2024-04</t>
        </is>
      </c>
      <c r="J65" s="12" t="inlineStr">
        <is>
          <t>Medium</t>
        </is>
      </c>
      <c r="K65" s="12" t="inlineStr">
        <is>
          <t>162 at Sep 2023 — slow shrink</t>
        </is>
      </c>
    </row>
    <row r="66" ht="23.85" customHeight="1" s="10">
      <c r="A66" s="12" t="inlineStr">
        <is>
          <t>Cyprus</t>
        </is>
      </c>
      <c r="B66" s="12" t="inlineStr">
        <is>
          <t>Bank of Cyprus</t>
        </is>
      </c>
      <c r="C66" s="12" t="inlineStr">
        <is>
          <t>Branches</t>
        </is>
      </c>
      <c r="D66" s="12" t="inlineStr">
        <is>
          <t>count</t>
        </is>
      </c>
      <c r="E66" s="12" t="inlineStr">
        <is>
          <t>2023</t>
        </is>
      </c>
      <c r="F66" s="12" t="n">
        <v>58</v>
      </c>
      <c r="G66" s="12" t="inlineStr">
        <is>
          <t>Wikipedia (citing BoC disclosures)</t>
        </is>
      </c>
      <c r="H66" s="12" t="inlineStr">
        <is>
          <t>https://en.wikipedia.org/wiki/Bank_of_Cyprus</t>
        </is>
      </c>
      <c r="I66" s="12" t="inlineStr">
        <is>
          <t>2023</t>
        </is>
      </c>
      <c r="J66" s="12" t="inlineStr">
        <is>
          <t>Low</t>
        </is>
      </c>
      <c r="K66" s="12" t="inlineStr">
        <is>
          <t>Older figure '84 branches/154 ATMs' also circulates — verify in annual report</t>
        </is>
      </c>
    </row>
    <row r="67" ht="23.85" customHeight="1" s="10">
      <c r="A67" s="12" t="inlineStr">
        <is>
          <t>Ukraine</t>
        </is>
      </c>
      <c r="B67" s="12" t="inlineStr">
        <is>
          <t>PrivatBank</t>
        </is>
      </c>
      <c r="C67" s="12" t="inlineStr">
        <is>
          <t>ATMs</t>
        </is>
      </c>
      <c r="D67" s="12" t="inlineStr">
        <is>
          <t>count</t>
        </is>
      </c>
      <c r="E67" s="12" t="inlineStr">
        <is>
          <t>2026-Q1</t>
        </is>
      </c>
      <c r="F67" s="12" t="n">
        <v>7401</v>
      </c>
      <c r="G67" s="12" t="inlineStr">
        <is>
          <t>Open4Business (PrivatBank data)</t>
        </is>
      </c>
      <c r="H67" s="12" t="inlineStr">
        <is>
          <t>https://open4business.com.ua/en/privatbank-plans-to-purchase-another-800-atms-in-2026/</t>
        </is>
      </c>
      <c r="I67" s="12" t="inlineStr">
        <is>
          <t>2026</t>
        </is>
      </c>
      <c r="J67" s="12" t="inlineStr">
        <is>
          <t>Medium</t>
        </is>
      </c>
      <c r="K67" s="12" t="inlineStr">
        <is>
          <t>Bought 1,200 ATMs in 2025 (~UAH 1bn); plans ~800 in 2026</t>
        </is>
      </c>
    </row>
    <row r="68" ht="23.85" customHeight="1" s="10">
      <c r="A68" s="12" t="inlineStr">
        <is>
          <t>Ukraine</t>
        </is>
      </c>
      <c r="B68" s="12" t="inlineStr">
        <is>
          <t>PrivatBank</t>
        </is>
      </c>
      <c r="C68" s="12" t="inlineStr">
        <is>
          <t>Self-service terminals</t>
        </is>
      </c>
      <c r="D68" s="12" t="inlineStr">
        <is>
          <t>count</t>
        </is>
      </c>
      <c r="E68" s="12" t="inlineStr">
        <is>
          <t>2026-Q1</t>
        </is>
      </c>
      <c r="F68" s="12" t="n">
        <v>9867</v>
      </c>
      <c r="G68" s="12" t="inlineStr">
        <is>
          <t>Open4Business (PrivatBank data)</t>
        </is>
      </c>
      <c r="H68" s="12" t="inlineStr">
        <is>
          <t>https://open4business.com.ua/en/privatbank-plans-to-purchase-another-800-atms-in-2026/</t>
        </is>
      </c>
      <c r="I68" s="12" t="inlineStr">
        <is>
          <t>2026</t>
        </is>
      </c>
      <c r="J68" s="12" t="inlineStr">
        <is>
          <t>Medium</t>
        </is>
      </c>
      <c r="K68" s="12" t="n"/>
    </row>
    <row r="69" ht="23.85" customHeight="1" s="10">
      <c r="A69" s="12" t="inlineStr">
        <is>
          <t>Ukraine</t>
        </is>
      </c>
      <c r="B69" s="12" t="inlineStr">
        <is>
          <t>PrivatBank</t>
        </is>
      </c>
      <c r="C69" s="12" t="inlineStr">
        <is>
          <t>Branches</t>
        </is>
      </c>
      <c r="D69" s="12" t="inlineStr">
        <is>
          <t>count</t>
        </is>
      </c>
      <c r="E69" s="12" t="inlineStr">
        <is>
          <t>2026-Q1</t>
        </is>
      </c>
      <c r="F69" s="12" t="n">
        <v>1053</v>
      </c>
      <c r="G69" s="12" t="inlineStr">
        <is>
          <t>Open4Business (PrivatBank data)</t>
        </is>
      </c>
      <c r="H69" s="12" t="inlineStr">
        <is>
          <t>https://open4business.com.ua/en/privatbank-plans-to-purchase-another-800-atms-in-2026/</t>
        </is>
      </c>
      <c r="I69" s="12" t="inlineStr">
        <is>
          <t>2026</t>
        </is>
      </c>
      <c r="J69" s="12" t="inlineStr">
        <is>
          <t>Medium</t>
        </is>
      </c>
      <c r="K69" s="12" t="n"/>
    </row>
    <row r="70" ht="23.85" customHeight="1" s="10">
      <c r="A70" s="12" t="inlineStr">
        <is>
          <t>Ukraine</t>
        </is>
      </c>
      <c r="B70" s="12" t="inlineStr">
        <is>
          <t>PrivatBank</t>
        </is>
      </c>
      <c r="C70" s="12" t="inlineStr">
        <is>
          <t>POS terminals</t>
        </is>
      </c>
      <c r="D70" s="12" t="inlineStr">
        <is>
          <t>count</t>
        </is>
      </c>
      <c r="E70" s="12" t="inlineStr">
        <is>
          <t>2026-Q1</t>
        </is>
      </c>
      <c r="F70" s="12" t="n">
        <v>345390</v>
      </c>
      <c r="G70" s="12" t="inlineStr">
        <is>
          <t>Open4Business (PrivatBank data)</t>
        </is>
      </c>
      <c r="H70" s="12" t="inlineStr">
        <is>
          <t>https://open4business.com.ua/en/privatbank-plans-to-purchase-another-800-atms-in-2026/</t>
        </is>
      </c>
      <c r="I70" s="12" t="inlineStr">
        <is>
          <t>2026</t>
        </is>
      </c>
      <c r="J70" s="12" t="inlineStr">
        <is>
          <t>Medium</t>
        </is>
      </c>
      <c r="K70" s="12" t="n"/>
    </row>
    <row r="71" ht="23.85" customHeight="1" s="10">
      <c r="A71" s="12" t="inlineStr">
        <is>
          <t>Ukraine</t>
        </is>
      </c>
      <c r="B71" s="12" t="inlineStr">
        <is>
          <t>PrivatBank</t>
        </is>
      </c>
      <c r="C71" s="12" t="inlineStr">
        <is>
          <t>Net profit</t>
        </is>
      </c>
      <c r="D71" s="12" t="inlineStr">
        <is>
          <t>UAH bn</t>
        </is>
      </c>
      <c r="E71" s="12" t="inlineStr">
        <is>
          <t>2025</t>
        </is>
      </c>
      <c r="F71" s="12" t="n">
        <v>29.1</v>
      </c>
      <c r="G71" s="12" t="inlineStr">
        <is>
          <t>Open4Business / PrivatBank</t>
        </is>
      </c>
      <c r="H71" s="12" t="inlineStr">
        <is>
          <t>https://open4business.com.ua/en/privatbank-plans-to-purchase-another-800-atms-in-2026/</t>
        </is>
      </c>
      <c r="I71" s="12" t="inlineStr">
        <is>
          <t>2026</t>
        </is>
      </c>
      <c r="J71" s="12" t="inlineStr">
        <is>
          <t>Medium</t>
        </is>
      </c>
      <c r="K71" s="12" t="inlineStr">
        <is>
          <t>+19% YoY — funds the fleet renewal</t>
        </is>
      </c>
    </row>
    <row r="72" ht="23.85" customHeight="1" s="10">
      <c r="A72" s="12" t="inlineStr">
        <is>
          <t>Ukraine</t>
        </is>
      </c>
      <c r="B72" s="12" t="inlineStr">
        <is>
          <t>Oschadbank</t>
        </is>
      </c>
      <c r="C72" s="12" t="inlineStr">
        <is>
          <t>Branches</t>
        </is>
      </c>
      <c r="D72" s="12" t="inlineStr">
        <is>
          <t>count</t>
        </is>
      </c>
      <c r="E72" s="12" t="inlineStr">
        <is>
          <t>2025/26</t>
        </is>
      </c>
      <c r="F72" s="12" t="n">
        <v>1150</v>
      </c>
      <c r="G72" s="12" t="inlineStr">
        <is>
          <t>Oschadbank corporate site</t>
        </is>
      </c>
      <c r="H72" s="12" t="inlineStr">
        <is>
          <t>https://www.oschadbank.ua/en/about</t>
        </is>
      </c>
      <c r="I72" s="12" t="inlineStr">
        <is>
          <t>2026 (accessed)</t>
        </is>
      </c>
      <c r="J72" s="12" t="inlineStr">
        <is>
          <t>Low</t>
        </is>
      </c>
      <c r="K72" s="12" t="inlineStr">
        <is>
          <t>~600 converted to new high-efficiency format; largest network in UA</t>
        </is>
      </c>
    </row>
    <row r="73" ht="15" customHeight="1" s="10">
      <c r="A73" s="12" t="inlineStr">
        <is>
          <t>Ukraine</t>
        </is>
      </c>
      <c r="B73" s="12" t="inlineStr">
        <is>
          <t>Oschadbank</t>
        </is>
      </c>
      <c r="C73" s="12" t="inlineStr">
        <is>
          <t>ATMs</t>
        </is>
      </c>
      <c r="D73" s="12" t="inlineStr">
        <is>
          <t>count</t>
        </is>
      </c>
      <c r="E73" s="12" t="inlineStr">
        <is>
          <t>2023-07</t>
        </is>
      </c>
      <c r="F73" s="12" t="n">
        <v>2790</v>
      </c>
      <c r="G73" s="12" t="inlineStr">
        <is>
          <t>Wikipedia (dated source)</t>
        </is>
      </c>
      <c r="H73" s="12" t="inlineStr">
        <is>
          <t>https://en.wikipedia.org/wiki/Oschadbank</t>
        </is>
      </c>
      <c r="I73" s="12" t="inlineStr">
        <is>
          <t>2023-07</t>
        </is>
      </c>
      <c r="J73" s="12" t="inlineStr">
        <is>
          <t>Low</t>
        </is>
      </c>
      <c r="K73" s="12" t="inlineStr">
        <is>
          <t>No newer public count found — gap</t>
        </is>
      </c>
    </row>
    <row r="74" ht="15" customHeight="1" s="10">
      <c r="A74" s="12" t="inlineStr">
        <is>
          <t>Ukraine</t>
        </is>
      </c>
      <c r="B74" s="12" t="inlineStr">
        <is>
          <t>Oschadbank</t>
        </is>
      </c>
      <c r="C74" s="12" t="inlineStr">
        <is>
          <t>Pre-tax profit</t>
        </is>
      </c>
      <c r="D74" s="12" t="inlineStr">
        <is>
          <t>UAH bn</t>
        </is>
      </c>
      <c r="E74" s="12" t="inlineStr">
        <is>
          <t>2024</t>
        </is>
      </c>
      <c r="F74" s="12" t="n">
        <v>18.6</v>
      </c>
      <c r="G74" s="12" t="inlineStr">
        <is>
          <t>Oschadbank / EBA</t>
        </is>
      </c>
      <c r="H74" s="12" t="inlineStr">
        <is>
          <t>https://www.oschadbank.ua/en/about</t>
        </is>
      </c>
      <c r="I74" s="12" t="inlineStr">
        <is>
          <t>2025</t>
        </is>
      </c>
      <c r="J74" s="12" t="inlineStr">
        <is>
          <t>Low</t>
        </is>
      </c>
      <c r="K74" s="12" t="inlineStr">
        <is>
          <t>Record year; net ~UAH 8bn</t>
        </is>
      </c>
    </row>
    <row r="75" ht="23.85" customHeight="1" s="10">
      <c r="A75" s="12" t="inlineStr">
        <is>
          <t>Group (CEE)</t>
        </is>
      </c>
      <c r="B75" s="12" t="inlineStr">
        <is>
          <t>OTP Group</t>
        </is>
      </c>
      <c r="C75" s="12" t="inlineStr">
        <is>
          <t>Operating expenses growth (FX-adj)</t>
        </is>
      </c>
      <c r="D75" s="12" t="inlineStr">
        <is>
          <t>% YoY</t>
        </is>
      </c>
      <c r="E75" s="12" t="inlineStr">
        <is>
          <t>2026-Q1</t>
        </is>
      </c>
      <c r="F75" s="12" t="n">
        <v>17</v>
      </c>
      <c r="G75" s="12" t="inlineStr">
        <is>
          <t>OTP 1Q 2026 summary report</t>
        </is>
      </c>
      <c r="H75" s="12" t="inlineStr">
        <is>
          <t>https://www.otpgroup.info/static/sw/file/OTP_20261Q_e_final.pdf</t>
        </is>
      </c>
      <c r="I75" s="12" t="inlineStr">
        <is>
          <t>2026-05-15</t>
        </is>
      </c>
      <c r="J75" s="12" t="inlineStr">
        <is>
          <t>Medium</t>
        </is>
      </c>
      <c r="K75" s="12" t="inlineStr">
        <is>
          <t>'Other expenses' +~20%, driven by IT infrastructure &amp; software</t>
        </is>
      </c>
    </row>
    <row r="76" ht="35.05" customHeight="1" s="10">
      <c r="A76" s="12" t="inlineStr">
        <is>
          <t>Group (CEE)</t>
        </is>
      </c>
      <c r="B76" s="12" t="inlineStr">
        <is>
          <t>Erste Group</t>
        </is>
      </c>
      <c r="C76" s="12" t="inlineStr">
        <is>
          <t>George platform users</t>
        </is>
      </c>
      <c r="D76" s="12" t="inlineStr">
        <is>
          <t>millions</t>
        </is>
      </c>
      <c r="E76" s="12" t="inlineStr">
        <is>
          <t>2026-Q1</t>
        </is>
      </c>
      <c r="F76" s="12" t="n">
        <v>11.7</v>
      </c>
      <c r="G76" s="12" t="inlineStr">
        <is>
          <t>Erste Q1 2026 slides (Investing.com)</t>
        </is>
      </c>
      <c r="H76" s="12" t="inlineStr">
        <is>
          <t>https://www.investing.com/news/company-news/erste-group-q1-2026-slides-ebp-integration-drives-growth-eps-misses-93CH-4648160</t>
        </is>
      </c>
      <c r="I76" s="12" t="inlineStr">
        <is>
          <t>2026-04-30</t>
        </is>
      </c>
      <c r="J76" s="12" t="inlineStr">
        <is>
          <t>Medium</t>
        </is>
      </c>
      <c r="K76" s="12" t="inlineStr">
        <is>
          <t>Digital sales share 72%; George Business 80k corporate clients</t>
        </is>
      </c>
    </row>
    <row r="77" ht="35.05" customHeight="1" s="10">
      <c r="A77" s="12" t="inlineStr">
        <is>
          <t>Group (CEE)</t>
        </is>
      </c>
      <c r="B77" s="12" t="inlineStr">
        <is>
          <t>KBC Group</t>
        </is>
      </c>
      <c r="C77" s="12" t="inlineStr">
        <is>
          <t>Kate AI assistant users</t>
        </is>
      </c>
      <c r="D77" s="12" t="inlineStr">
        <is>
          <t>millions</t>
        </is>
      </c>
      <c r="E77" s="12" t="inlineStr">
        <is>
          <t>2026-Q1</t>
        </is>
      </c>
      <c r="F77" s="12" t="n">
        <v>6.1</v>
      </c>
      <c r="G77" s="12" t="inlineStr">
        <is>
          <t>KBC Q1 2026 slides (Investing.com)</t>
        </is>
      </c>
      <c r="H77" s="12" t="inlineStr">
        <is>
          <t>https://au.investing.com/news/company-news/kbc-group-q1-2026-slides-strong-profit-amid-hefty-tax-burden-93CH-4425886</t>
        </is>
      </c>
      <c r="I77" s="12" t="inlineStr">
        <is>
          <t>2026-05-12</t>
        </is>
      </c>
      <c r="J77" s="12" t="inlineStr">
        <is>
          <t>Medium</t>
        </is>
      </c>
      <c r="K77" s="12" t="inlineStr">
        <is>
          <t>Autonomy 69% in CZ; branches: CZ 198, SK 98, HU 193, BG 176</t>
        </is>
      </c>
    </row>
    <row r="78" ht="35.05" customHeight="1" s="10">
      <c r="A78" s="12" t="inlineStr">
        <is>
          <t>Group (SEE)</t>
        </is>
      </c>
      <c r="B78" s="12" t="inlineStr">
        <is>
          <t>NLB Group</t>
        </is>
      </c>
      <c r="C78" s="12" t="inlineStr">
        <is>
          <t>Digital penetration</t>
        </is>
      </c>
      <c r="D78" s="12" t="inlineStr">
        <is>
          <t>% of customers</t>
        </is>
      </c>
      <c r="E78" s="12" t="inlineStr">
        <is>
          <t>2026-Q1</t>
        </is>
      </c>
      <c r="F78" s="12" t="n">
        <v>60</v>
      </c>
      <c r="G78" s="12" t="inlineStr">
        <is>
          <t>NLB Q1 2026 interim report</t>
        </is>
      </c>
      <c r="H78" s="12" t="inlineStr">
        <is>
          <t>https://www.nlbgroup.com/content/dam/nlb/nlb-group/documents/investor-relations/financial-reports/2026/q1/NLB-Group-Interim-Report-January-March2026.pdf</t>
        </is>
      </c>
      <c r="I78" s="12" t="inlineStr">
        <is>
          <t>2026-05</t>
        </is>
      </c>
      <c r="J78" s="12" t="inlineStr">
        <is>
          <t>Medium</t>
        </is>
      </c>
      <c r="K78" s="12" t="inlineStr">
        <is>
          <t>&gt;60%, +5.2pp YoY; target 80% by 2030; 400+ branches in 7 markets</t>
        </is>
      </c>
    </row>
    <row r="79">
      <c r="A79" s="14" t="inlineStr">
        <is>
          <t>Romania</t>
        </is>
      </c>
      <c r="B79" s="14" t="inlineStr">
        <is>
          <t>Sector (all banks)</t>
        </is>
      </c>
      <c r="C79" s="14" t="inlineStr">
        <is>
          <t>ATMs</t>
        </is>
      </c>
      <c r="D79" s="14" t="inlineStr">
        <is>
          <t>count</t>
        </is>
      </c>
      <c r="E79" s="14" t="inlineStr">
        <is>
          <t>2023-06</t>
        </is>
      </c>
      <c r="F79" s="14" t="n">
        <v>10244</v>
      </c>
      <c r="G79" s="14" t="inlineStr">
        <is>
          <t>BNR data via BankingNews.ro</t>
        </is>
      </c>
      <c r="H79" s="14" t="inlineStr">
        <is>
          <t>https://bankingnews.ro/top-banci-atm-pos-2024.html</t>
        </is>
      </c>
      <c r="I79" s="14" t="inlineStr">
        <is>
          <t>2024-02-05</t>
        </is>
      </c>
      <c r="J79" s="14" t="inlineStr">
        <is>
          <t>Medium</t>
        </is>
      </c>
      <c r="K79" s="14" t="inlineStr">
        <is>
          <t>Stable around ~10,000 for a decade (vs W. Europe decline)</t>
        </is>
      </c>
    </row>
    <row r="80">
      <c r="A80" s="14" t="inlineStr">
        <is>
          <t>Romania</t>
        </is>
      </c>
      <c r="B80" s="14" t="inlineStr">
        <is>
          <t>Sector (all banks)</t>
        </is>
      </c>
      <c r="C80" s="14" t="inlineStr">
        <is>
          <t>POS terminals</t>
        </is>
      </c>
      <c r="D80" s="14" t="inlineStr">
        <is>
          <t>count</t>
        </is>
      </c>
      <c r="E80" s="14" t="inlineStr">
        <is>
          <t>2013-12</t>
        </is>
      </c>
      <c r="F80" s="14" t="n">
        <v>128043</v>
      </c>
      <c r="G80" s="14" t="inlineStr">
        <is>
          <t>BNR data via BankingNews.ro</t>
        </is>
      </c>
      <c r="H80" s="14" t="inlineStr">
        <is>
          <t>https://bankingnews.ro/top-banci-atm-pos-2024.html</t>
        </is>
      </c>
      <c r="I80" s="14" t="inlineStr">
        <is>
          <t>2024-02-05</t>
        </is>
      </c>
      <c r="J80" s="14" t="inlineStr">
        <is>
          <t>Medium</t>
        </is>
      </c>
      <c r="K80" s="14" t="inlineStr"/>
    </row>
    <row r="81">
      <c r="A81" s="14" t="inlineStr">
        <is>
          <t>Romania</t>
        </is>
      </c>
      <c r="B81" s="14" t="inlineStr">
        <is>
          <t>Sector (all banks)</t>
        </is>
      </c>
      <c r="C81" s="14" t="inlineStr">
        <is>
          <t>POS terminals</t>
        </is>
      </c>
      <c r="D81" s="14" t="inlineStr">
        <is>
          <t>count</t>
        </is>
      </c>
      <c r="E81" s="14" t="inlineStr">
        <is>
          <t>2023-06</t>
        </is>
      </c>
      <c r="F81" s="14" t="n">
        <v>409072</v>
      </c>
      <c r="G81" s="14" t="inlineStr">
        <is>
          <t>BNR data via BankingNews.ro</t>
        </is>
      </c>
      <c r="H81" s="14" t="inlineStr">
        <is>
          <t>https://bankingnews.ro/top-banci-atm-pos-2024.html</t>
        </is>
      </c>
      <c r="I81" s="14" t="inlineStr">
        <is>
          <t>2024-02-05</t>
        </is>
      </c>
      <c r="J81" s="14" t="inlineStr">
        <is>
          <t>Medium</t>
        </is>
      </c>
      <c r="K81" s="14" t="inlineStr">
        <is>
          <t>Tripled in 10 years</t>
        </is>
      </c>
    </row>
    <row r="82">
      <c r="A82" s="14" t="inlineStr">
        <is>
          <t>Romania</t>
        </is>
      </c>
      <c r="B82" s="14" t="inlineStr">
        <is>
          <t>Sector (all banks)</t>
        </is>
      </c>
      <c r="C82" s="14" t="inlineStr">
        <is>
          <t>ATMs per 10,000 inhabitants</t>
        </is>
      </c>
      <c r="D82" s="14" t="inlineStr">
        <is>
          <t>ratio</t>
        </is>
      </c>
      <c r="E82" s="14" t="inlineStr">
        <is>
          <t>2023-06</t>
        </is>
      </c>
      <c r="F82" s="14" t="n">
        <v>5.1</v>
      </c>
      <c r="G82" s="14" t="inlineStr">
        <is>
          <t>EAST via BankingNews.ro</t>
        </is>
      </c>
      <c r="H82" s="14" t="inlineStr">
        <is>
          <t>https://bankingnews.ro/top-banci-atm-pos-2024.html</t>
        </is>
      </c>
      <c r="I82" s="14" t="inlineStr">
        <is>
          <t>2024-02-05</t>
        </is>
      </c>
      <c r="J82" s="14" t="inlineStr">
        <is>
          <t>Medium</t>
        </is>
      </c>
      <c r="K82" s="14" t="inlineStr">
        <is>
          <t>In line with PL (5.2), CZ (5.1); Croatia highest in Europe (13.3)</t>
        </is>
      </c>
    </row>
    <row r="83">
      <c r="A83" s="14" t="inlineStr">
        <is>
          <t>Romania</t>
        </is>
      </c>
      <c r="B83" s="14" t="inlineStr">
        <is>
          <t>Banca Transilvania</t>
        </is>
      </c>
      <c r="C83" s="14" t="inlineStr">
        <is>
          <t>ATMs/MFMs</t>
        </is>
      </c>
      <c r="D83" s="14" t="inlineStr">
        <is>
          <t>count</t>
        </is>
      </c>
      <c r="E83" s="14" t="inlineStr">
        <is>
          <t>2022</t>
        </is>
      </c>
      <c r="F83" s="14" t="n">
        <v>1770</v>
      </c>
      <c r="G83" s="14" t="inlineStr">
        <is>
          <t>BankingNews.ro ATM/POS ranking (bank-supplied data)</t>
        </is>
      </c>
      <c r="H83" s="14" t="inlineStr">
        <is>
          <t>https://bankingnews.ro/top-banci-atm-pos-2024.html</t>
        </is>
      </c>
      <c r="I83" s="14" t="inlineStr">
        <is>
          <t>2024-02-05</t>
        </is>
      </c>
      <c r="J83" s="14" t="inlineStr">
        <is>
          <t>Medium</t>
        </is>
      </c>
      <c r="K83" s="14" t="inlineStr"/>
    </row>
    <row r="84">
      <c r="A84" s="14" t="inlineStr">
        <is>
          <t>Romania</t>
        </is>
      </c>
      <c r="B84" s="14" t="inlineStr">
        <is>
          <t>Banca Transilvania</t>
        </is>
      </c>
      <c r="C84" s="14" t="inlineStr">
        <is>
          <t>ATMs + BT Express terminals</t>
        </is>
      </c>
      <c r="D84" s="14" t="inlineStr">
        <is>
          <t>count</t>
        </is>
      </c>
      <c r="E84" s="14" t="inlineStr">
        <is>
          <t>2023-09</t>
        </is>
      </c>
      <c r="F84" s="14" t="inlineStr">
        <is>
          <t>1,850 + 500</t>
        </is>
      </c>
      <c r="G84" s="14" t="inlineStr">
        <is>
          <t>BankingNews.ro ATM/POS ranking (bank-supplied data)</t>
        </is>
      </c>
      <c r="H84" s="14" t="inlineStr">
        <is>
          <t>https://bankingnews.ro/top-banci-atm-pos-2024.html</t>
        </is>
      </c>
      <c r="I84" s="14" t="inlineStr">
        <is>
          <t>2024-02-05</t>
        </is>
      </c>
      <c r="J84" s="14" t="inlineStr">
        <is>
          <t>Medium</t>
        </is>
      </c>
      <c r="K84" s="14" t="inlineStr"/>
    </row>
    <row r="85">
      <c r="A85" s="14" t="inlineStr">
        <is>
          <t>Romania</t>
        </is>
      </c>
      <c r="B85" s="14" t="inlineStr">
        <is>
          <t>Banca Transilvania</t>
        </is>
      </c>
      <c r="C85" s="14" t="inlineStr">
        <is>
          <t>ATMs/MFMs</t>
        </is>
      </c>
      <c r="D85" s="14" t="inlineStr">
        <is>
          <t>count</t>
        </is>
      </c>
      <c r="E85" s="14" t="inlineStr">
        <is>
          <t>2024-02</t>
        </is>
      </c>
      <c r="F85" s="14" t="n">
        <v>2350</v>
      </c>
      <c r="G85" s="14" t="inlineStr">
        <is>
          <t>BankingNews.ro ATM/POS ranking (bank-supplied data)</t>
        </is>
      </c>
      <c r="H85" s="14" t="inlineStr">
        <is>
          <t>https://bankingnews.ro/top-banci-atm-pos-2024.html</t>
        </is>
      </c>
      <c r="I85" s="14" t="inlineStr">
        <is>
          <t>2024-02-05</t>
        </is>
      </c>
      <c r="J85" s="14" t="inlineStr">
        <is>
          <t>Medium</t>
        </is>
      </c>
      <c r="K85" s="14" t="inlineStr">
        <is>
          <t>Became #1 network, overtaking BCR; clear ATM investment trend</t>
        </is>
      </c>
    </row>
    <row r="86">
      <c r="A86" s="14" t="inlineStr">
        <is>
          <t>Romania</t>
        </is>
      </c>
      <c r="B86" s="14" t="inlineStr">
        <is>
          <t>Banca Transilvania</t>
        </is>
      </c>
      <c r="C86" s="14" t="inlineStr">
        <is>
          <t>POS terminals</t>
        </is>
      </c>
      <c r="D86" s="14" t="inlineStr">
        <is>
          <t>count</t>
        </is>
      </c>
      <c r="E86" s="14" t="inlineStr">
        <is>
          <t>2023-11</t>
        </is>
      </c>
      <c r="F86" s="14" t="n">
        <v>122000</v>
      </c>
      <c r="G86" s="14" t="inlineStr">
        <is>
          <t>BankingNews.ro ATM/POS ranking (bank-supplied data)</t>
        </is>
      </c>
      <c r="H86" s="14" t="inlineStr">
        <is>
          <t>https://bankingnews.ro/top-banci-atm-pos-2024.html</t>
        </is>
      </c>
      <c r="I86" s="14" t="inlineStr">
        <is>
          <t>2024-02-05</t>
        </is>
      </c>
      <c r="J86" s="14" t="inlineStr">
        <is>
          <t>Medium</t>
        </is>
      </c>
      <c r="K86" s="14" t="inlineStr">
        <is>
          <t>Largest acquiring network</t>
        </is>
      </c>
    </row>
    <row r="87">
      <c r="A87" s="14" t="inlineStr">
        <is>
          <t>Romania</t>
        </is>
      </c>
      <c r="B87" s="14" t="inlineStr">
        <is>
          <t>BCR (Erste)</t>
        </is>
      </c>
      <c r="C87" s="14" t="inlineStr">
        <is>
          <t>ATMs/MFMs</t>
        </is>
      </c>
      <c r="D87" s="14" t="inlineStr">
        <is>
          <t>count</t>
        </is>
      </c>
      <c r="E87" s="14" t="inlineStr">
        <is>
          <t>2022</t>
        </is>
      </c>
      <c r="F87" s="14" t="n">
        <v>1800</v>
      </c>
      <c r="G87" s="14" t="inlineStr">
        <is>
          <t>BankingNews.ro ATM/POS ranking (bank-supplied data)</t>
        </is>
      </c>
      <c r="H87" s="14" t="inlineStr">
        <is>
          <t>https://bankingnews.ro/top-banci-atm-pos-2024.html</t>
        </is>
      </c>
      <c r="I87" s="14" t="inlineStr">
        <is>
          <t>2024-02-05</t>
        </is>
      </c>
      <c r="J87" s="14" t="inlineStr">
        <is>
          <t>Medium</t>
        </is>
      </c>
      <c r="K87" s="14" t="inlineStr">
        <is>
          <t>Then #1</t>
        </is>
      </c>
    </row>
    <row r="88">
      <c r="A88" s="14" t="inlineStr">
        <is>
          <t>Romania</t>
        </is>
      </c>
      <c r="B88" s="14" t="inlineStr">
        <is>
          <t>BCR (Erste)</t>
        </is>
      </c>
      <c r="C88" s="14" t="inlineStr">
        <is>
          <t>ATMs/MFMs</t>
        </is>
      </c>
      <c r="D88" s="14" t="inlineStr">
        <is>
          <t>count</t>
        </is>
      </c>
      <c r="E88" s="14" t="inlineStr">
        <is>
          <t>2024-02</t>
        </is>
      </c>
      <c r="F88" s="14" t="n">
        <v>2000</v>
      </c>
      <c r="G88" s="14" t="inlineStr">
        <is>
          <t>BankingNews.ro ATM/POS ranking (bank-supplied data)</t>
        </is>
      </c>
      <c r="H88" s="14" t="inlineStr">
        <is>
          <t>https://bankingnews.ro/top-banci-atm-pos-2024.html</t>
        </is>
      </c>
      <c r="I88" s="14" t="inlineStr">
        <is>
          <t>2024-02-05</t>
        </is>
      </c>
      <c r="J88" s="14" t="inlineStr">
        <is>
          <t>Medium</t>
        </is>
      </c>
      <c r="K88" s="14" t="inlineStr">
        <is>
          <t>~2,000 per bank-supplied data</t>
        </is>
      </c>
    </row>
    <row r="89">
      <c r="A89" s="14" t="inlineStr">
        <is>
          <t>Romania</t>
        </is>
      </c>
      <c r="B89" s="14" t="inlineStr">
        <is>
          <t>BRD (SocGen)</t>
        </is>
      </c>
      <c r="C89" s="14" t="inlineStr">
        <is>
          <t>ATMs/MBAs</t>
        </is>
      </c>
      <c r="D89" s="14" t="inlineStr">
        <is>
          <t>count</t>
        </is>
      </c>
      <c r="E89" s="14" t="inlineStr">
        <is>
          <t>2024-02</t>
        </is>
      </c>
      <c r="F89" s="14" t="n">
        <v>1300</v>
      </c>
      <c r="G89" s="14" t="inlineStr">
        <is>
          <t>BankingNews.ro ATM/POS ranking (bank-supplied data)</t>
        </is>
      </c>
      <c r="H89" s="14" t="inlineStr">
        <is>
          <t>https://bankingnews.ro/top-banci-atm-pos-2024.html</t>
        </is>
      </c>
      <c r="I89" s="14" t="inlineStr">
        <is>
          <t>2024-02-05</t>
        </is>
      </c>
      <c r="J89" s="14" t="inlineStr">
        <is>
          <t>Medium</t>
        </is>
      </c>
      <c r="K89" s="14" t="inlineStr">
        <is>
          <t>'Over 1,300' — fills BRD gap</t>
        </is>
      </c>
    </row>
    <row r="90">
      <c r="A90" s="14" t="inlineStr">
        <is>
          <t>Romania</t>
        </is>
      </c>
      <c r="B90" s="14" t="inlineStr">
        <is>
          <t>Raiffeisen RO</t>
        </is>
      </c>
      <c r="C90" s="14" t="inlineStr">
        <is>
          <t>ATMs/MFMs</t>
        </is>
      </c>
      <c r="D90" s="14" t="inlineStr">
        <is>
          <t>count</t>
        </is>
      </c>
      <c r="E90" s="14" t="inlineStr">
        <is>
          <t>2024-02</t>
        </is>
      </c>
      <c r="F90" s="14" t="n">
        <v>1126</v>
      </c>
      <c r="G90" s="14" t="inlineStr">
        <is>
          <t>BankingNews.ro ATM/POS ranking (bank-supplied data)</t>
        </is>
      </c>
      <c r="H90" s="14" t="inlineStr">
        <is>
          <t>https://bankingnews.ro/top-banci-atm-pos-2024.html</t>
        </is>
      </c>
      <c r="I90" s="14" t="inlineStr">
        <is>
          <t>2024-02-05</t>
        </is>
      </c>
      <c r="J90" s="14" t="inlineStr">
        <is>
          <t>Medium</t>
        </is>
      </c>
      <c r="K90" s="14" t="inlineStr">
        <is>
          <t>POS: ~28,900</t>
        </is>
      </c>
    </row>
    <row r="91">
      <c r="A91" s="14" t="inlineStr">
        <is>
          <t>Romania</t>
        </is>
      </c>
      <c r="B91" s="14" t="inlineStr">
        <is>
          <t>CEC Bank</t>
        </is>
      </c>
      <c r="C91" s="14" t="inlineStr">
        <is>
          <t>ATMs/MFMs</t>
        </is>
      </c>
      <c r="D91" s="14" t="inlineStr">
        <is>
          <t>count</t>
        </is>
      </c>
      <c r="E91" s="14" t="inlineStr">
        <is>
          <t>2023-12</t>
        </is>
      </c>
      <c r="F91" s="14" t="n">
        <v>1354</v>
      </c>
      <c r="G91" s="14" t="inlineStr">
        <is>
          <t>BankingNews.ro ATM/POS ranking (bank-supplied data)</t>
        </is>
      </c>
      <c r="H91" s="14" t="inlineStr">
        <is>
          <t>https://bankingnews.ro/top-banci-atm-pos-2024.html</t>
        </is>
      </c>
      <c r="I91" s="14" t="inlineStr">
        <is>
          <t>2024-02-05</t>
        </is>
      </c>
      <c r="J91" s="14" t="inlineStr">
        <is>
          <t>Medium</t>
        </is>
      </c>
      <c r="K91" s="14" t="inlineStr">
        <is>
          <t>1,169 ATM + 185 MFM; state-owned; POS: ~23,872</t>
        </is>
      </c>
    </row>
    <row r="92">
      <c r="A92" s="14" t="inlineStr">
        <is>
          <t>Romania</t>
        </is>
      </c>
      <c r="B92" s="14" t="inlineStr">
        <is>
          <t>UniCredit RO</t>
        </is>
      </c>
      <c r="C92" s="14" t="inlineStr">
        <is>
          <t>ATMs/MFMs</t>
        </is>
      </c>
      <c r="D92" s="14" t="inlineStr">
        <is>
          <t>count</t>
        </is>
      </c>
      <c r="E92" s="14" t="inlineStr">
        <is>
          <t>2024-02</t>
        </is>
      </c>
      <c r="F92" s="14" t="n">
        <v>661</v>
      </c>
      <c r="G92" s="14" t="inlineStr">
        <is>
          <t>BankingNews.ro ATM/POS ranking (bank-supplied data)</t>
        </is>
      </c>
      <c r="H92" s="14" t="inlineStr">
        <is>
          <t>https://bankingnews.ro/top-banci-atm-pos-2024.html</t>
        </is>
      </c>
      <c r="I92" s="14" t="inlineStr">
        <is>
          <t>2024-02-05</t>
        </is>
      </c>
      <c r="J92" s="14" t="inlineStr">
        <is>
          <t>Medium</t>
        </is>
      </c>
      <c r="K92" s="14" t="inlineStr">
        <is>
          <t>357 ATM + 304 MFM; clients also use Euronet's 556 ATMs; POS: 70,000+ (acquiring #2)</t>
        </is>
      </c>
    </row>
    <row r="93">
      <c r="A93" s="14" t="inlineStr">
        <is>
          <t>Romania</t>
        </is>
      </c>
      <c r="B93" s="14" t="inlineStr">
        <is>
          <t>Alpha Bank RO</t>
        </is>
      </c>
      <c r="C93" s="14" t="inlineStr">
        <is>
          <t>ATMs/MFMs</t>
        </is>
      </c>
      <c r="D93" s="14" t="inlineStr">
        <is>
          <t>count</t>
        </is>
      </c>
      <c r="E93" s="14" t="inlineStr">
        <is>
          <t>2024-02</t>
        </is>
      </c>
      <c r="F93" s="14" t="n">
        <v>251</v>
      </c>
      <c r="G93" s="14" t="inlineStr">
        <is>
          <t>BankingNews.ro ATM/POS ranking (bank-supplied data)</t>
        </is>
      </c>
      <c r="H93" s="14" t="inlineStr">
        <is>
          <t>https://bankingnews.ro/top-banci-atm-pos-2024.html</t>
        </is>
      </c>
      <c r="I93" s="14" t="inlineStr">
        <is>
          <t>2024-02-05</t>
        </is>
      </c>
      <c r="J93" s="14" t="inlineStr">
        <is>
          <t>Medium</t>
        </is>
      </c>
      <c r="K93" s="14" t="inlineStr">
        <is>
          <t>POS: ~15,000</t>
        </is>
      </c>
    </row>
    <row r="94">
      <c r="A94" s="14" t="inlineStr">
        <is>
          <t>Romania</t>
        </is>
      </c>
      <c r="B94" s="14" t="inlineStr">
        <is>
          <t>OTP Bank RO</t>
        </is>
      </c>
      <c r="C94" s="14" t="inlineStr">
        <is>
          <t>ATMs</t>
        </is>
      </c>
      <c r="D94" s="14" t="inlineStr">
        <is>
          <t>count</t>
        </is>
      </c>
      <c r="E94" s="14" t="inlineStr">
        <is>
          <t>2024-02</t>
        </is>
      </c>
      <c r="F94" s="14" t="n">
        <v>156</v>
      </c>
      <c r="G94" s="14" t="inlineStr">
        <is>
          <t>BankingNews.ro ATM/POS ranking (bank-supplied data)</t>
        </is>
      </c>
      <c r="H94" s="14" t="inlineStr">
        <is>
          <t>https://bankingnews.ro/top-banci-atm-pos-2024.html</t>
        </is>
      </c>
      <c r="I94" s="14" t="inlineStr">
        <is>
          <t>2024-02-05</t>
        </is>
      </c>
      <c r="J94" s="14" t="inlineStr">
        <is>
          <t>Medium</t>
        </is>
      </c>
      <c r="K94" s="14" t="inlineStr">
        <is>
          <t>POS: 17,700 incl. 4,150 SoftPOS (sold to Banca Transilvania 2024)</t>
        </is>
      </c>
    </row>
    <row r="95">
      <c r="A95" s="14" t="inlineStr">
        <is>
          <t>Serbia</t>
        </is>
      </c>
      <c r="B95" s="14" t="inlineStr">
        <is>
          <t>Sector (all banks)</t>
        </is>
      </c>
      <c r="C95" s="14" t="inlineStr">
        <is>
          <t>ATMs</t>
        </is>
      </c>
      <c r="D95" s="14" t="inlineStr">
        <is>
          <t>count</t>
        </is>
      </c>
      <c r="E95" s="14" t="inlineStr">
        <is>
          <t>2025-06</t>
        </is>
      </c>
      <c r="F95" s="14" t="n">
        <v>3196</v>
      </c>
      <c r="G95" s="14" t="inlineStr">
        <is>
          <t>NBS payment statistics via Politika/Sputnik</t>
        </is>
      </c>
      <c r="H95" s="14" t="inlineStr">
        <is>
          <t>https://nbs.rs/sr_RS/ciljevi-i-funkcije/platni-sistem/statistika/index.html</t>
        </is>
      </c>
      <c r="I95" s="14" t="inlineStr">
        <is>
          <t>2025-09</t>
        </is>
      </c>
      <c r="J95" s="14" t="inlineStr">
        <is>
          <t>Medium</t>
        </is>
      </c>
      <c r="K95" s="14" t="inlineStr">
        <is>
          <t>+2.0% YoY — still growing; 3,197 at end-Sep 2025</t>
        </is>
      </c>
    </row>
    <row r="96">
      <c r="A96" s="14" t="inlineStr">
        <is>
          <t>Serbia</t>
        </is>
      </c>
      <c r="B96" s="14" t="inlineStr">
        <is>
          <t>Sector (all banks)</t>
        </is>
      </c>
      <c r="C96" s="14" t="inlineStr">
        <is>
          <t>POS terminals</t>
        </is>
      </c>
      <c r="D96" s="14" t="inlineStr">
        <is>
          <t>count</t>
        </is>
      </c>
      <c r="E96" s="14" t="inlineStr">
        <is>
          <t>2025-06</t>
        </is>
      </c>
      <c r="F96" s="14" t="n">
        <v>177000</v>
      </c>
      <c r="G96" s="14" t="inlineStr">
        <is>
          <t>NBS payment statistics via Politika/Sputnik</t>
        </is>
      </c>
      <c r="H96" s="14" t="inlineStr">
        <is>
          <t>https://nbs.rs/sr_RS/ciljevi-i-funkcije/platni-sistem/statistika/index.html</t>
        </is>
      </c>
      <c r="I96" s="14" t="inlineStr">
        <is>
          <t>2025-09</t>
        </is>
      </c>
      <c r="J96" s="14" t="inlineStr">
        <is>
          <t>Medium</t>
        </is>
      </c>
      <c r="K96" s="14" t="inlineStr">
        <is>
          <t>+19.0% YoY; +61.4% vs 5 years earlier — fast acquiring expansion</t>
        </is>
      </c>
    </row>
    <row r="97">
      <c r="A97" s="14" t="inlineStr">
        <is>
          <t>Serbia</t>
        </is>
      </c>
      <c r="B97" s="14" t="inlineStr">
        <is>
          <t>Sector (all banks)</t>
        </is>
      </c>
      <c r="C97" s="14" t="inlineStr">
        <is>
          <t>Mobile banking users growth</t>
        </is>
      </c>
      <c r="D97" s="14" t="inlineStr">
        <is>
          <t>% YoY</t>
        </is>
      </c>
      <c r="E97" s="14" t="inlineStr">
        <is>
          <t>2024</t>
        </is>
      </c>
      <c r="F97" s="14" t="n">
        <v>13.9</v>
      </c>
      <c r="G97" s="14" t="inlineStr">
        <is>
          <t>NBS via Politika</t>
        </is>
      </c>
      <c r="H97" s="14" t="inlineStr">
        <is>
          <t>https://www.politika.rs/scc/clanak/665544/narodna-banka-srbije-broj-korisnika-mobilnog-bankarstva-lane-povecan-za-13-9-odsto</t>
        </is>
      </c>
      <c r="I97" s="14" t="inlineStr">
        <is>
          <t>2025</t>
        </is>
      </c>
      <c r="J97" s="14" t="inlineStr">
        <is>
          <t>Medium</t>
        </is>
      </c>
      <c r="K97" s="14" t="inlineStr"/>
    </row>
    <row r="98">
      <c r="A98" s="14" t="inlineStr">
        <is>
          <t>Ukraine</t>
        </is>
      </c>
      <c r="B98" s="14" t="inlineStr">
        <is>
          <t>Oschadbank</t>
        </is>
      </c>
      <c r="C98" s="14" t="inlineStr">
        <is>
          <t>Payment terminals</t>
        </is>
      </c>
      <c r="D98" s="14" t="inlineStr">
        <is>
          <t>count</t>
        </is>
      </c>
      <c r="E98" s="14" t="inlineStr">
        <is>
          <t>2023-07</t>
        </is>
      </c>
      <c r="F98" s="14" t="n">
        <v>2555</v>
      </c>
      <c r="G98" s="14" t="inlineStr">
        <is>
          <t>Oschadbank via Wikipedia (uk)</t>
        </is>
      </c>
      <c r="H98" s="14" t="inlineStr">
        <is>
          <t>https://uk.wikipedia.org/wiki/%D0%9E%D1%89%D0%B0%D0%B4%D0%B1%D0%B0%D0%BD%D0%BA</t>
        </is>
      </c>
      <c r="I98" s="14" t="inlineStr">
        <is>
          <t>2023-07</t>
        </is>
      </c>
      <c r="J98" s="14" t="inlineStr">
        <is>
          <t>Low</t>
        </is>
      </c>
      <c r="K98" s="14" t="inlineStr">
        <is>
          <t>Local-language search confirms: no newer public ATM count — genuine gap</t>
        </is>
      </c>
    </row>
    <row r="99">
      <c r="A99" s="14" t="inlineStr">
        <is>
          <t>Europe</t>
        </is>
      </c>
      <c r="B99" s="14" t="inlineStr">
        <is>
          <t>Sector benchmark</t>
        </is>
      </c>
      <c r="C99" s="14" t="inlineStr">
        <is>
          <t>ATMs (Europe total)</t>
        </is>
      </c>
      <c r="D99" s="14" t="inlineStr">
        <is>
          <t>count</t>
        </is>
      </c>
      <c r="E99" s="14" t="inlineStr">
        <is>
          <t>2023-06</t>
        </is>
      </c>
      <c r="F99" s="14" t="n">
        <v>350716</v>
      </c>
      <c r="G99" s="14" t="inlineStr">
        <is>
          <t>EAST via BankingNews.ro</t>
        </is>
      </c>
      <c r="H99" s="14" t="inlineStr">
        <is>
          <t>https://bankingnews.ro/top-banci-atm-pos-2024.html</t>
        </is>
      </c>
      <c r="I99" s="14" t="inlineStr">
        <is>
          <t>2024-02-05</t>
        </is>
      </c>
      <c r="J99" s="14" t="inlineStr">
        <is>
          <t>Low</t>
        </is>
      </c>
      <c r="K99" s="14" t="inlineStr">
        <is>
          <t>Context benchmark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I14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customHeight="0" zeroHeight="0" outlineLevelRow="0"/>
  <cols>
    <col width="16" customWidth="1" style="9" min="1" max="1"/>
    <col width="10" customWidth="1" style="9" min="2" max="2"/>
    <col width="18" customWidth="1" style="9" min="3" max="3"/>
    <col width="55" customWidth="1" style="9" min="4" max="4"/>
    <col width="24" customWidth="1" style="9" min="5" max="5"/>
    <col width="50" customWidth="1" style="9" min="6" max="6"/>
    <col width="28" customWidth="1" style="9" min="7" max="7"/>
    <col width="45" customWidth="1" style="9" min="8" max="8"/>
    <col width="11" customWidth="1" style="9" min="9" max="9"/>
  </cols>
  <sheetData>
    <row r="1" ht="15" customHeight="1" s="10">
      <c r="A1" s="13" t="inlineStr">
        <is>
          <t>Date</t>
        </is>
      </c>
      <c r="B1" s="13" t="inlineStr">
        <is>
          <t>Country</t>
        </is>
      </c>
      <c r="C1" s="13" t="inlineStr">
        <is>
          <t>Bank</t>
        </is>
      </c>
      <c r="D1" s="13" t="inlineStr">
        <is>
          <t>Event</t>
        </is>
      </c>
      <c r="E1" s="13" t="inlineStr">
        <is>
          <t>Category</t>
        </is>
      </c>
      <c r="F1" s="13" t="inlineStr">
        <is>
          <t>Implication for Printec</t>
        </is>
      </c>
      <c r="G1" s="13" t="inlineStr">
        <is>
          <t>Source</t>
        </is>
      </c>
      <c r="H1" s="13" t="inlineStr">
        <is>
          <t>URL</t>
        </is>
      </c>
      <c r="I1" s="13" t="inlineStr">
        <is>
          <t>Confidence</t>
        </is>
      </c>
    </row>
    <row r="2" ht="23.85" customHeight="1" s="10">
      <c r="A2" s="12" t="inlineStr">
        <is>
          <t>2024 (approved)</t>
        </is>
      </c>
      <c r="B2" s="12" t="inlineStr">
        <is>
          <t>Ukraine</t>
        </is>
      </c>
      <c r="C2" s="12" t="inlineStr">
        <is>
          <t>Oschadbank</t>
        </is>
      </c>
      <c r="D2" s="12" t="inlineStr">
        <is>
          <t>2024–2028 strategy: efficiency, branch modernization (~600 new-format branches), IT/digital channels, resilience</t>
        </is>
      </c>
      <c r="E2" s="12" t="inlineStr">
        <is>
          <t>Strategy / branch transformation</t>
        </is>
      </c>
      <c r="F2" s="12" t="inlineStr">
        <is>
          <t>Multi-year branch refit + self-service demand at state-owned bank (public procurement)</t>
        </is>
      </c>
      <c r="G2" s="12" t="inlineStr">
        <is>
          <t>Oschadbank corporate site</t>
        </is>
      </c>
      <c r="H2" s="12" t="inlineStr">
        <is>
          <t>https://www.oschadbank.ua/en/about</t>
        </is>
      </c>
      <c r="I2" s="12" t="inlineStr">
        <is>
          <t>Low</t>
        </is>
      </c>
    </row>
    <row r="3" ht="23.85" customHeight="1" s="10">
      <c r="A3" s="12" t="inlineStr">
        <is>
          <t>2024-10</t>
        </is>
      </c>
      <c r="B3" s="12" t="inlineStr">
        <is>
          <t>Cyprus</t>
        </is>
      </c>
      <c r="C3" s="12" t="inlineStr">
        <is>
          <t>Hellenic Bank (Eurobank)</t>
        </is>
      </c>
      <c r="D3" s="12" t="inlineStr">
        <is>
          <t>Launched automated service points (ATM-only outlets) in Nicosia, Limassol, Larnaca, Paphos</t>
        </is>
      </c>
      <c r="E3" s="12" t="inlineStr">
        <is>
          <t>Self-service / branch transformation</t>
        </is>
      </c>
      <c r="F3" s="12" t="inlineStr">
        <is>
          <t>Branchless self-service format = ATM/kiosk hardware + servicing demand</t>
        </is>
      </c>
      <c r="G3" s="12" t="inlineStr">
        <is>
          <t>Cyprus Mail</t>
        </is>
      </c>
      <c r="H3" s="12" t="inlineStr">
        <is>
          <t>https://cyprus-mail.com/2024/10/22/hellenic-bank-launches-new-automated-service-points</t>
        </is>
      </c>
      <c r="I3" s="12" t="inlineStr">
        <is>
          <t>Medium</t>
        </is>
      </c>
    </row>
    <row r="4" ht="23.85" customHeight="1" s="10">
      <c r="A4" s="12" t="inlineStr">
        <is>
          <t>2025 (full year)</t>
        </is>
      </c>
      <c r="B4" s="12" t="inlineStr">
        <is>
          <t>Ukraine</t>
        </is>
      </c>
      <c r="C4" s="12" t="inlineStr">
        <is>
          <t>PrivatBank</t>
        </is>
      </c>
      <c r="D4" s="12" t="inlineStr">
        <is>
          <t>Purchased 1,200 ATMs (~UAH 1bn)</t>
        </is>
      </c>
      <c r="E4" s="12" t="inlineStr">
        <is>
          <t>ATM fleet renewal</t>
        </is>
      </c>
      <c r="F4" s="12" t="inlineStr">
        <is>
          <t>Active fleet replacement cycle; vendor selection precedent for 2026 batch</t>
        </is>
      </c>
      <c r="G4" s="12" t="inlineStr">
        <is>
          <t>Open4Business</t>
        </is>
      </c>
      <c r="H4" s="12" t="inlineStr">
        <is>
          <t>https://open4business.com.ua/en/privatbank-plans-to-purchase-another-800-atms-in-2026/</t>
        </is>
      </c>
      <c r="I4" s="12" t="inlineStr">
        <is>
          <t>Medium</t>
        </is>
      </c>
    </row>
    <row r="5" ht="35.05" customHeight="1" s="10">
      <c r="A5" s="12" t="inlineStr">
        <is>
          <t>2025-10</t>
        </is>
      </c>
      <c r="B5" s="12" t="inlineStr">
        <is>
          <t>Greece</t>
        </is>
      </c>
      <c r="C5" s="12" t="inlineStr">
        <is>
          <t>Piraeus (Snappi)</t>
        </is>
      </c>
      <c r="D5" s="12" t="inlineStr">
        <is>
          <t>Snappi digital-only bank launched; 100k customers by Q1 2026</t>
        </is>
      </c>
      <c r="E5" s="12" t="inlineStr">
        <is>
          <t>Digital bank launch</t>
        </is>
      </c>
      <c r="F5" s="12" t="inlineStr">
        <is>
          <t>eKYC/onboarding tech validated at scale in Greece; branchless model pressures branch economics</t>
        </is>
      </c>
      <c r="G5" s="12" t="inlineStr">
        <is>
          <t>Piraeus Q1 2026 results (Investing.com)</t>
        </is>
      </c>
      <c r="H5" s="12" t="inlineStr">
        <is>
          <t>https://www.investing.com/news/company-news/piraeus-bank-q1-2026-slides-stellar-fee-growth-drives-profitability-93CH-4649228</t>
        </is>
      </c>
      <c r="I5" s="12" t="inlineStr">
        <is>
          <t>Medium</t>
        </is>
      </c>
    </row>
    <row r="6" ht="23.85" customHeight="1" s="10">
      <c r="A6" s="12" t="inlineStr">
        <is>
          <t>2026-01-01</t>
        </is>
      </c>
      <c r="B6" s="12" t="inlineStr">
        <is>
          <t>Bulgaria</t>
        </is>
      </c>
      <c r="C6" s="12" t="inlineStr">
        <is>
          <t>All banks</t>
        </is>
      </c>
      <c r="D6" s="12" t="inlineStr">
        <is>
          <t>Euro adoption: all ATMs dispense euro-only from day 1; dual circulation in January</t>
        </is>
      </c>
      <c r="E6" s="12" t="inlineStr">
        <is>
          <t>Payments / cash infrastructure</t>
        </is>
      </c>
      <c r="F6" s="12" t="inlineStr">
        <is>
          <t>Every ATM/recycler reconfigured; post-conversion fleet optimization decisions due H2 2026</t>
        </is>
      </c>
      <c r="G6" s="12" t="inlineStr">
        <is>
          <t>ECB / Sofia Globe</t>
        </is>
      </c>
      <c r="H6" s="12" t="inlineStr">
        <is>
          <t>https://www.ecb.europa.eu/euro/changeover/bulgaria/html/index.en.html</t>
        </is>
      </c>
      <c r="I6" s="12" t="inlineStr">
        <is>
          <t>Medium</t>
        </is>
      </c>
    </row>
    <row r="7" ht="35.05" customHeight="1" s="10">
      <c r="A7" s="12" t="inlineStr">
        <is>
          <t>2026-Q1 (expected completion)</t>
        </is>
      </c>
      <c r="B7" s="12" t="inlineStr">
        <is>
          <t>Greece</t>
        </is>
      </c>
      <c r="C7" s="12" t="inlineStr">
        <is>
          <t>NBG</t>
        </is>
      </c>
      <c r="D7" s="12" t="inlineStr">
        <is>
          <t>Core banking system upgrade completion</t>
        </is>
      </c>
      <c r="E7" s="12" t="inlineStr">
        <is>
          <t>Core modernization</t>
        </is>
      </c>
      <c r="F7" s="12" t="inlineStr">
        <is>
          <t>Channel/self-service integration wave typically follows core go-live within 6–12 months</t>
        </is>
      </c>
      <c r="G7" s="12" t="inlineStr">
        <is>
          <t>NBG Q1 2026 presentation (Seeking Alpha)</t>
        </is>
      </c>
      <c r="H7" s="12" t="inlineStr">
        <is>
          <t>https://seekingalpha.com/article/4901244-national-bank-of-greece-s-a-2026-q1-results-earnings-call-presentation</t>
        </is>
      </c>
      <c r="I7" s="12" t="inlineStr">
        <is>
          <t>Medium</t>
        </is>
      </c>
    </row>
    <row r="8" ht="46.25" customHeight="1" s="10">
      <c r="A8" s="12" t="inlineStr">
        <is>
          <t>2026-02-26</t>
        </is>
      </c>
      <c r="B8" s="12" t="inlineStr">
        <is>
          <t>Greece</t>
        </is>
      </c>
      <c r="C8" s="12" t="inlineStr">
        <is>
          <t>Eurobank</t>
        </is>
      </c>
      <c r="D8" s="12" t="inlineStr">
        <is>
          <t>FY2025 report details 'Eurobank 2030' transformation; next-gen branches with Cash 360 recyclers</t>
        </is>
      </c>
      <c r="E8" s="12" t="inlineStr">
        <is>
          <t>Branch transformation / cash automation</t>
        </is>
      </c>
      <c r="F8" s="12" t="inlineStr">
        <is>
          <t>Ongoing rollout of cash-automation-centric branch format</t>
        </is>
      </c>
      <c r="G8" s="12" t="inlineStr">
        <is>
          <t>Eurobank FY2025 annual report</t>
        </is>
      </c>
      <c r="H8" s="12" t="inlineStr">
        <is>
          <t>https://www.eurobank.gr/-/media/eurobank/omilos/enimerosi-ependuton/enimerosi-metoxon-eurobank/oikonomika-apotelesmata/2026/fy-2025/en-annual-report-eurobank-2025.pdf</t>
        </is>
      </c>
      <c r="I8" s="12" t="inlineStr">
        <is>
          <t>Medium</t>
        </is>
      </c>
    </row>
    <row r="9" ht="35.05" customHeight="1" s="10">
      <c r="A9" s="12" t="inlineStr">
        <is>
          <t>2026-04-02</t>
        </is>
      </c>
      <c r="B9" s="12" t="inlineStr">
        <is>
          <t>Greece</t>
        </is>
      </c>
      <c r="C9" s="12" t="inlineStr">
        <is>
          <t>Alpha Bank</t>
        </is>
      </c>
      <c r="D9" s="12" t="inlineStr">
        <is>
          <t>Retail transformation announced: investment in branch network, 5 directorates/25 regions, contactless ATMs; €47m voluntary separation in Q1</t>
        </is>
      </c>
      <c r="E9" s="12" t="inlineStr">
        <is>
          <t>Branch transformation / ATM upgrade</t>
        </is>
      </c>
      <c r="F9" s="12" t="inlineStr">
        <is>
          <t>Direct window: ATM upgrade/replacement + branch refit currently being scoped/funded</t>
        </is>
      </c>
      <c r="G9" s="12" t="inlineStr">
        <is>
          <t>Cyprus Mail / Alpha Q1 2026 results</t>
        </is>
      </c>
      <c r="H9" s="12" t="inlineStr">
        <is>
          <t>https://cyprus-mail.com/2026/04/02/alpha-bank-rolls-out-retail-banking-transformation-plan</t>
        </is>
      </c>
      <c r="I9" s="12" t="inlineStr">
        <is>
          <t>Medium</t>
        </is>
      </c>
    </row>
    <row r="10" ht="35.05" customHeight="1" s="10">
      <c r="A10" s="12" t="inlineStr">
        <is>
          <t>2026-Q2 (planned)</t>
        </is>
      </c>
      <c r="B10" s="12" t="inlineStr">
        <is>
          <t>Serbia</t>
        </is>
      </c>
      <c r="C10" s="12" t="inlineStr">
        <is>
          <t>Erste Bank Serbia</t>
        </is>
      </c>
      <c r="D10" s="12" t="inlineStr">
        <is>
          <t>George digital platform rollout to all customers</t>
        </is>
      </c>
      <c r="E10" s="12" t="inlineStr">
        <is>
          <t>Digital migration</t>
        </is>
      </c>
      <c r="F10" s="12" t="inlineStr">
        <is>
          <t>Transaction migration off branches → self-service/cash-automation relevance rises</t>
        </is>
      </c>
      <c r="G10" s="12" t="inlineStr">
        <is>
          <t>Magazin Biznis / Erste Q1 2026</t>
        </is>
      </c>
      <c r="H10" s="12" t="inlineStr">
        <is>
          <t>https://magazinbiznis.rs/erste-bank-application-george-to-become-available-in-serbia-in-the-second-quarter-of-2026/</t>
        </is>
      </c>
      <c r="I10" s="12" t="inlineStr">
        <is>
          <t>Medium</t>
        </is>
      </c>
    </row>
    <row r="11" ht="23.85" customHeight="1" s="10">
      <c r="A11" s="12" t="inlineStr">
        <is>
          <t>2026 (planned)</t>
        </is>
      </c>
      <c r="B11" s="12" t="inlineStr">
        <is>
          <t>Ukraine</t>
        </is>
      </c>
      <c r="C11" s="12" t="inlineStr">
        <is>
          <t>PrivatBank</t>
        </is>
      </c>
      <c r="D11" s="12" t="inlineStr">
        <is>
          <t>Plan to purchase ~800 more ATMs</t>
        </is>
      </c>
      <c r="E11" s="12" t="inlineStr">
        <is>
          <t>ATM fleet renewal</t>
        </is>
      </c>
      <c r="F11" s="12" t="inlineStr">
        <is>
          <t>Biddable procurement (state-owned, Prozorro); follow lot publication</t>
        </is>
      </c>
      <c r="G11" s="12" t="inlineStr">
        <is>
          <t>Open4Business</t>
        </is>
      </c>
      <c r="H11" s="12" t="inlineStr">
        <is>
          <t>https://open4business.com.ua/en/privatbank-plans-to-purchase-another-800-atms-in-2026/</t>
        </is>
      </c>
      <c r="I11" s="12" t="inlineStr">
        <is>
          <t>Medium</t>
        </is>
      </c>
    </row>
    <row r="12" ht="35.05" customHeight="1" s="10">
      <c r="A12" s="12" t="inlineStr">
        <is>
          <t>2026-05</t>
        </is>
      </c>
      <c r="B12" s="12" t="inlineStr">
        <is>
          <t>Cyprus</t>
        </is>
      </c>
      <c r="C12" s="12" t="inlineStr">
        <is>
          <t>Bank of Cyprus</t>
        </is>
      </c>
      <c r="D12" s="12" t="inlineStr">
        <is>
          <t>Bolt-on M&amp;A: 26% of Wealthyhood; €150m loans + €500m deposits from Cyprus Development Bank</t>
        </is>
      </c>
      <c r="E12" s="12" t="inlineStr">
        <is>
          <t>M&amp;A / integration</t>
        </is>
      </c>
      <c r="F12" s="12" t="inlineStr">
        <is>
          <t>Customer migration/onboarding integration work in next 6–12 months</t>
        </is>
      </c>
      <c r="G12" s="12" t="inlineStr">
        <is>
          <t>Investing.com Q1 2026 slides</t>
        </is>
      </c>
      <c r="H12" s="12" t="inlineStr">
        <is>
          <t>https://www.investing.com/news/company-news/bank-of-cyprus-q1-2026-slides-profit-rises-3-as-npe-ratio-hits-11-93CH-4675468</t>
        </is>
      </c>
      <c r="I12" s="12" t="inlineStr">
        <is>
          <t>Medium</t>
        </is>
      </c>
    </row>
    <row r="13" ht="35.05" customHeight="1" s="10">
      <c r="A13" s="12" t="inlineStr">
        <is>
          <t>2026-05-26</t>
        </is>
      </c>
      <c r="B13" s="12" t="inlineStr">
        <is>
          <t>Romania</t>
        </is>
      </c>
      <c r="C13" s="12" t="inlineStr">
        <is>
          <t>Banca Transilvania</t>
        </is>
      </c>
      <c r="D13" s="12" t="inlineStr">
        <is>
          <t>2026 investment plan ~RON 1,017m, mainly IT/digital (+20.6% YoY)</t>
        </is>
      </c>
      <c r="E13" s="12" t="inlineStr">
        <is>
          <t>IT/digital spend</t>
        </is>
      </c>
      <c r="F13" s="12" t="inlineStr">
        <is>
          <t>Romania's largest bank expanding tech budget — payments, onboarding, self-service candidates</t>
        </is>
      </c>
      <c r="G13" s="12" t="inlineStr">
        <is>
          <t>BT Q1 2026 presentation</t>
        </is>
      </c>
      <c r="H13" s="12" t="inlineStr">
        <is>
          <t>https://www.bancatransilvania.ro/files/app/media/Investor-Relations/Financial-Results/2026/1st-Quarter/Presentation.pdf</t>
        </is>
      </c>
      <c r="I13" s="12" t="inlineStr">
        <is>
          <t>Medium</t>
        </is>
      </c>
    </row>
    <row r="14" ht="23.85" customHeight="1" s="10">
      <c r="A14" s="12" t="inlineStr">
        <is>
          <t>2026-06-30</t>
        </is>
      </c>
      <c r="B14" s="12" t="inlineStr">
        <is>
          <t>Bulgaria</t>
        </is>
      </c>
      <c r="C14" s="12" t="inlineStr">
        <is>
          <t>All banks</t>
        </is>
      </c>
      <c r="D14" s="12" t="inlineStr">
        <is>
          <t>End of free lev→euro exchange at commercial banks (BNB continues indefinitely)</t>
        </is>
      </c>
      <c r="E14" s="12" t="inlineStr">
        <is>
          <t>Cash infrastructure</t>
        </is>
      </c>
      <c r="F14" s="12" t="inlineStr">
        <is>
          <t>Conversion workload drops → H2 2026 fleet rationalization &amp; managed-services conversations</t>
        </is>
      </c>
      <c r="G14" s="12" t="inlineStr">
        <is>
          <t>ECB changeover page</t>
        </is>
      </c>
      <c r="H14" s="12" t="inlineStr">
        <is>
          <t>https://www.ecb.europa.eu/euro/changeover/bulgaria/html/index.en.html</t>
        </is>
      </c>
      <c r="I14" s="12" t="inlineStr">
        <is>
          <t>Medium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4.xml><?xml version="1.0" encoding="utf-8"?>
<worksheet xmlns="http://schemas.openxmlformats.org/spreadsheetml/2006/main">
  <sheetPr filterMode="0">
    <outlinePr summaryBelow="1" summaryRight="1"/>
    <pageSetUpPr fitToPage="0"/>
  </sheetPr>
  <dimension ref="A1:L9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0" zeroHeight="0" outlineLevelRow="0"/>
  <cols>
    <col width="26" customWidth="1" style="9" min="1" max="1"/>
    <col width="9" customWidth="1" style="9" min="2" max="12"/>
  </cols>
  <sheetData>
    <row r="1" ht="15" customHeight="1" s="10">
      <c r="A1" s="15" t="inlineStr">
        <is>
          <t>Greek banking sector — network time series (HBA, Nov 2025)</t>
        </is>
      </c>
    </row>
    <row r="2" ht="15" customHeight="1" s="10">
      <c r="A2" s="16" t="inlineStr">
        <is>
          <t>Year</t>
        </is>
      </c>
      <c r="B2" s="16" t="inlineStr">
        <is>
          <t>2014</t>
        </is>
      </c>
      <c r="C2" s="16" t="inlineStr">
        <is>
          <t>2015</t>
        </is>
      </c>
      <c r="D2" s="16" t="inlineStr">
        <is>
          <t>2016</t>
        </is>
      </c>
      <c r="E2" s="16" t="inlineStr">
        <is>
          <t>2017</t>
        </is>
      </c>
      <c r="F2" s="16" t="inlineStr">
        <is>
          <t>2018</t>
        </is>
      </c>
      <c r="G2" s="16" t="inlineStr">
        <is>
          <t>2019</t>
        </is>
      </c>
      <c r="H2" s="16" t="inlineStr">
        <is>
          <t>2020</t>
        </is>
      </c>
      <c r="I2" s="16" t="inlineStr">
        <is>
          <t>2021</t>
        </is>
      </c>
      <c r="J2" s="16" t="inlineStr">
        <is>
          <t>2022</t>
        </is>
      </c>
      <c r="K2" s="16" t="inlineStr">
        <is>
          <t>2023</t>
        </is>
      </c>
      <c r="L2" s="16" t="inlineStr">
        <is>
          <t>2024</t>
        </is>
      </c>
    </row>
    <row r="3" ht="15" customHeight="1" s="10">
      <c r="A3" s="17" t="inlineStr">
        <is>
          <t>Branches</t>
        </is>
      </c>
      <c r="B3" s="17" t="n">
        <v>2688</v>
      </c>
      <c r="C3" s="17" t="n">
        <v>2547</v>
      </c>
      <c r="D3" s="17" t="n">
        <v>2332</v>
      </c>
      <c r="E3" s="17" t="n">
        <v>2168</v>
      </c>
      <c r="F3" s="17" t="n">
        <v>1981</v>
      </c>
      <c r="G3" s="17" t="n">
        <v>1834</v>
      </c>
      <c r="H3" s="17" t="n">
        <v>1702</v>
      </c>
      <c r="I3" s="17" t="n">
        <v>1560</v>
      </c>
      <c r="J3" s="17" t="n">
        <v>1483</v>
      </c>
      <c r="K3" s="17" t="n">
        <v>1414</v>
      </c>
      <c r="L3" s="17" t="n">
        <v>1383</v>
      </c>
    </row>
    <row r="4" ht="15" customHeight="1" s="10">
      <c r="A4" s="17" t="inlineStr">
        <is>
          <t>ATMs</t>
        </is>
      </c>
      <c r="B4" s="17" t="n">
        <v>5449</v>
      </c>
      <c r="C4" s="17" t="n">
        <v>5257</v>
      </c>
      <c r="D4" s="17" t="n">
        <v>5313</v>
      </c>
      <c r="E4" s="17" t="n">
        <v>5505</v>
      </c>
      <c r="F4" s="17" t="n">
        <v>5625</v>
      </c>
      <c r="G4" s="17" t="n">
        <v>5854</v>
      </c>
      <c r="H4" s="17" t="n">
        <v>5925</v>
      </c>
      <c r="I4" s="17" t="n">
        <v>5928</v>
      </c>
      <c r="J4" s="17" t="n">
        <v>6040</v>
      </c>
      <c r="K4" s="17" t="n">
        <v>5953</v>
      </c>
      <c r="L4" s="17" t="n">
        <v>6167</v>
      </c>
    </row>
    <row r="5" ht="15" customHeight="1" s="10">
      <c r="A5" s="17" t="inlineStr">
        <is>
          <t>Branches YoY %</t>
        </is>
      </c>
      <c r="B5" s="18" t="n"/>
      <c r="C5" s="18">
        <f>(C3-B3)/B3</f>
        <v/>
      </c>
      <c r="D5" s="18">
        <f>(D3-C3)/C3</f>
        <v/>
      </c>
      <c r="E5" s="18">
        <f>(E3-D3)/D3</f>
        <v/>
      </c>
      <c r="F5" s="18">
        <f>(F3-E3)/E3</f>
        <v/>
      </c>
      <c r="G5" s="18">
        <f>(G3-F3)/F3</f>
        <v/>
      </c>
      <c r="H5" s="18">
        <f>(H3-G3)/G3</f>
        <v/>
      </c>
      <c r="I5" s="18">
        <f>(I3-H3)/H3</f>
        <v/>
      </c>
      <c r="J5" s="18">
        <f>(J3-I3)/I3</f>
        <v/>
      </c>
      <c r="K5" s="18">
        <f>(K3-J3)/J3</f>
        <v/>
      </c>
      <c r="L5" s="18">
        <f>(L3-K3)/K3</f>
        <v/>
      </c>
    </row>
    <row r="6" ht="15" customHeight="1" s="10">
      <c r="A6" s="17" t="inlineStr">
        <is>
          <t>ATMs YoY %</t>
        </is>
      </c>
      <c r="B6" s="18" t="n"/>
      <c r="C6" s="18">
        <f>(C4-B4)/B4</f>
        <v/>
      </c>
      <c r="D6" s="18">
        <f>(D4-C4)/C4</f>
        <v/>
      </c>
      <c r="E6" s="18">
        <f>(E4-D4)/D4</f>
        <v/>
      </c>
      <c r="F6" s="18">
        <f>(F4-E4)/E4</f>
        <v/>
      </c>
      <c r="G6" s="18">
        <f>(G4-F4)/F4</f>
        <v/>
      </c>
      <c r="H6" s="18">
        <f>(H4-G4)/G4</f>
        <v/>
      </c>
      <c r="I6" s="18">
        <f>(I4-H4)/H4</f>
        <v/>
      </c>
      <c r="J6" s="18">
        <f>(J4-I4)/I4</f>
        <v/>
      </c>
      <c r="K6" s="18">
        <f>(K4-J4)/J4</f>
        <v/>
      </c>
      <c r="L6" s="18">
        <f>(L4-K4)/K4</f>
        <v/>
      </c>
    </row>
    <row r="7" ht="15" customHeight="1" s="10">
      <c r="A7" s="17" t="inlineStr">
        <is>
          <t>Cumulative change 2014→2024</t>
        </is>
      </c>
      <c r="B7" s="18">
        <f>(L3-B3)/B3</f>
        <v/>
      </c>
      <c r="C7" s="17" t="n"/>
      <c r="D7" s="17" t="inlineStr">
        <is>
          <t>branches</t>
        </is>
      </c>
      <c r="E7" s="17" t="n"/>
      <c r="F7" s="17" t="n"/>
      <c r="G7" s="17" t="n"/>
      <c r="H7" s="17" t="n"/>
      <c r="I7" s="17" t="n"/>
      <c r="J7" s="17" t="n"/>
      <c r="K7" s="17" t="n"/>
      <c r="L7" s="17" t="n"/>
    </row>
    <row r="8" ht="15" customHeight="1" s="10">
      <c r="A8" s="17" t="n"/>
      <c r="B8" s="18">
        <f>(L4-B4)/B4</f>
        <v/>
      </c>
      <c r="C8" s="17" t="n"/>
      <c r="D8" s="17" t="inlineStr">
        <is>
          <t>ATMs</t>
        </is>
      </c>
      <c r="E8" s="17" t="n"/>
      <c r="F8" s="17" t="n"/>
      <c r="G8" s="17" t="n"/>
      <c r="H8" s="17" t="n"/>
      <c r="I8" s="17" t="n"/>
      <c r="J8" s="17" t="n"/>
      <c r="K8" s="17" t="n"/>
      <c r="L8" s="17" t="n"/>
    </row>
    <row r="9" ht="15" customHeight="1" s="10">
      <c r="A9" s="17" t="inlineStr">
        <is>
          <t>ATMs per branch</t>
        </is>
      </c>
      <c r="B9" s="19">
        <f>B4/B3</f>
        <v/>
      </c>
      <c r="C9" s="19">
        <f>C4/C3</f>
        <v/>
      </c>
      <c r="D9" s="19">
        <f>D4/D3</f>
        <v/>
      </c>
      <c r="E9" s="19">
        <f>E4/E3</f>
        <v/>
      </c>
      <c r="F9" s="19">
        <f>F4/F3</f>
        <v/>
      </c>
      <c r="G9" s="19">
        <f>G4/G3</f>
        <v/>
      </c>
      <c r="H9" s="19">
        <f>H4/H3</f>
        <v/>
      </c>
      <c r="I9" s="19">
        <f>I4/I3</f>
        <v/>
      </c>
      <c r="J9" s="19">
        <f>J4/J3</f>
        <v/>
      </c>
      <c r="K9" s="19">
        <f>K4/K3</f>
        <v/>
      </c>
      <c r="L9" s="19">
        <f>L4/L3</f>
        <v/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 filterMode="0">
    <outlinePr summaryBelow="1" summaryRight="1"/>
    <pageSetUpPr fitToPage="0"/>
  </sheetPr>
  <dimension ref="A1:E9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customHeight="0" zeroHeight="0" outlineLevelRow="0"/>
  <cols>
    <col width="4" customWidth="1" style="9" min="1" max="1"/>
    <col width="30" customWidth="1" style="9" min="2" max="2"/>
    <col width="65" customWidth="1" style="9" min="3" max="3"/>
    <col width="55" customWidth="1" style="9" min="4" max="4"/>
    <col width="11" customWidth="1" style="9" min="5" max="5"/>
  </cols>
  <sheetData>
    <row r="1" ht="15" customHeight="1" s="10">
      <c r="A1" s="13" t="inlineStr">
        <is>
          <t>#</t>
        </is>
      </c>
      <c r="B1" s="13" t="inlineStr">
        <is>
          <t>Pattern</t>
        </is>
      </c>
      <c r="C1" s="13" t="inlineStr">
        <is>
          <t>Evidence (see Metrics/Milestones)</t>
        </is>
      </c>
      <c r="D1" s="13" t="inlineStr">
        <is>
          <t>What it means for Printec</t>
        </is>
      </c>
      <c r="E1" s="13" t="inlineStr">
        <is>
          <t>Confidence</t>
        </is>
      </c>
    </row>
    <row r="2" ht="35.05" customHeight="1" s="10">
      <c r="A2" s="12" t="n">
        <v>1</v>
      </c>
      <c r="B2" s="12" t="inlineStr">
        <is>
          <t>Branches shrink, ATMs grow (Greece)</t>
        </is>
      </c>
      <c r="C2" s="12" t="inlineStr">
        <is>
          <t>GR branches -48.5% 2014→2024 (2,688→1,383) while ATMs +13% (5,449→6,167); off-branch ATMs growing fastest (HBA). ATMs-per-branch ratio rose from ~2.0 to ~4.5 (see GR_Sector_Series row 9)</t>
        </is>
      </c>
      <c r="D2" s="12" t="inlineStr">
        <is>
          <t>Structural: self-service replaces teller infrastructure. Off-site/white-label ATM formats and managed services are the growth segment, not branch-attached machines</t>
        </is>
      </c>
      <c r="E2" s="12" t="inlineStr">
        <is>
          <t>Medium</t>
        </is>
      </c>
    </row>
    <row r="3" ht="23.85" customHeight="1" s="10">
      <c r="A3" s="12" t="n">
        <v>2</v>
      </c>
      <c r="B3" s="12" t="inlineStr">
        <is>
          <t>Cash is plateauing, not dying</t>
        </is>
      </c>
      <c r="C3" s="12" t="inlineStr">
        <is>
          <t>GR ATM withdrawal value still +1.2% YoY in 9M 2025 despite card transactions nearly doubling 2020→2024</t>
        </is>
      </c>
      <c r="D3" s="12" t="inlineStr">
        <is>
          <t>Cash infrastructure stays mission-critical while per-branch volumes thin → favors recycling, pooling, ATM-as-a-Service economics</t>
        </is>
      </c>
      <c r="E3" s="12" t="inlineStr">
        <is>
          <t>Medium</t>
        </is>
      </c>
    </row>
    <row r="4" ht="35.05" customHeight="1" s="10">
      <c r="A4" s="12" t="n">
        <v>3</v>
      </c>
      <c r="B4" s="12" t="inlineStr">
        <is>
          <t>Cost lines are rising for IT, not falling</t>
        </is>
      </c>
      <c r="C4" s="12" t="inlineStr">
        <is>
          <t>GR sector opex +12.6% 1H25; OTP 'other expenses' +~20% on IT infra/software; BT investment plan +20.6% to RON 1,017m for 2026; Erste/RBI cite higher IT spend</t>
        </is>
      </c>
      <c r="D4" s="12" t="inlineStr">
        <is>
          <t>2024–26 is a spend expansion phase across the region — vendor budgets exist now; position before budgets lock for 2027</t>
        </is>
      </c>
      <c r="E4" s="12" t="inlineStr">
        <is>
          <t>Medium</t>
        </is>
      </c>
    </row>
    <row r="5" ht="46.25" customHeight="1" s="10">
      <c r="A5" s="12" t="n">
        <v>4</v>
      </c>
      <c r="B5" s="12" t="inlineStr">
        <is>
          <t>Branch transformation wave (2024→2026), not branch elimination</t>
        </is>
      </c>
      <c r="C5" s="12" t="inlineStr">
        <is>
          <t>Alpha invests in branches + contactless ATMs (Apr 2026); BCR &gt;30% branches redesigned by 2025; Eurobank next-gen branches with Cash 360; Oschadbank ~600 new-format branches; Hellenic ATM-only service points (Oct 2024); NLB Bank&amp;Go mobile branches</t>
        </is>
      </c>
      <c r="D5" s="12" t="inlineStr">
        <is>
          <t>Banks are refitting, not just closing. Each refit = self-service hardware, cash automation, queuing/digital signage, security — Printec's core catalogue</t>
        </is>
      </c>
      <c r="E5" s="12" t="inlineStr">
        <is>
          <t>Medium</t>
        </is>
      </c>
    </row>
    <row r="6" ht="23.85" customHeight="1" s="10">
      <c r="A6" s="12" t="n">
        <v>5</v>
      </c>
      <c r="B6" s="12" t="inlineStr">
        <is>
          <t>State-owned banks run open ATM procurement cycles</t>
        </is>
      </c>
      <c r="C6" s="12" t="inlineStr">
        <is>
          <t>PrivatBank: 1,200 ATMs bought 2025, ~800 planned 2026; Oschadbank modernization strategy 2024–2028</t>
        </is>
      </c>
      <c r="D6" s="12" t="inlineStr">
        <is>
          <t>Ukraine = largest visible hardware pipeline in footprint; both banks tender publicly (Prozorro)</t>
        </is>
      </c>
      <c r="E6" s="12" t="inlineStr">
        <is>
          <t>Medium</t>
        </is>
      </c>
    </row>
    <row r="7" ht="35.05" customHeight="1" s="10">
      <c r="A7" s="12" t="n">
        <v>6</v>
      </c>
      <c r="B7" s="12" t="inlineStr">
        <is>
          <t>One-off events create dated demand spikes</t>
        </is>
      </c>
      <c r="C7" s="12" t="inlineStr">
        <is>
          <t>Bulgaria euro changeover (Jan 2026): all ATMs reconfigured, deposit regimes diverged by bank; free exchange ends 30 Jun 2026. NBG core upgrade completes Q1 2026</t>
        </is>
      </c>
      <c r="D7" s="12" t="inlineStr">
        <is>
          <t>Post-event windows: BG fleet optimization H2 2026; NBG channel integration 2026–27. Time outreach to these dates</t>
        </is>
      </c>
      <c r="E7" s="12" t="inlineStr">
        <is>
          <t>Medium</t>
        </is>
      </c>
    </row>
    <row r="8" ht="35.05" customHeight="1" s="10">
      <c r="A8" s="12" t="n">
        <v>7</v>
      </c>
      <c r="B8" s="12" t="inlineStr">
        <is>
          <t>Digital platforms hit scale → branch role shifts to advice</t>
        </is>
      </c>
      <c r="C8" s="12" t="inlineStr">
        <is>
          <t>George 11.7m users/72% digital sales; Kate 6.1m users; Snappi 100k in 2 quarters; BCR 97% digital investment transactions; NLB &gt;60% penetration targeting 80% by 2030; GR mobile users 6.9m vs 3.6m internet</t>
        </is>
      </c>
      <c r="D8" s="12" t="inlineStr">
        <is>
          <t>Tellers disappear from the value chain → residual physical transactions concentrate on self-service; advisory branches still need cash automation in back office</t>
        </is>
      </c>
      <c r="E8" s="12" t="inlineStr">
        <is>
          <t>Medium</t>
        </is>
      </c>
    </row>
    <row r="9" ht="23.85" customHeight="1" s="10">
      <c r="A9" s="12" t="n">
        <v>8</v>
      </c>
      <c r="B9" s="12" t="inlineStr">
        <is>
          <t>Serbia diverges: physical network stable</t>
        </is>
      </c>
      <c r="C9" s="12" t="inlineStr">
        <is>
          <t>WB branches/100k adults flat (24.0 → 23.97, 2023→2024); Intesa keeps 147 branches; George Serbia launch only Q2 2026</t>
        </is>
      </c>
      <c r="D9" s="12" t="inlineStr">
        <is>
          <t>Serbia is 2–3 years behind EU markets in digital migration → branch/ATM expansion and first-wave digital projects both live</t>
        </is>
      </c>
      <c r="E9" s="12" t="inlineStr">
        <is>
          <t>Low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2026-06-12T20:22:40Z</dcterms:created>
  <dcterms:modified xmlns:dcterms="http://purl.org/dc/terms/" xmlns:xsi="http://www.w3.org/2001/XMLSchema-instance" xsi:type="dcterms:W3CDTF">2026-06-12T20:47:51Z</dcterms:modified>
  <cp:revision>1</cp:revision>
</cp:coreProperties>
</file>